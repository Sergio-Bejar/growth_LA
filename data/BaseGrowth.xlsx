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Fede/Desktop/growth_LA/data/"/>
    </mc:Choice>
  </mc:AlternateContent>
  <xr:revisionPtr revIDLastSave="0" documentId="13_ncr:1_{1FDB2F0C-D532-B943-A4E4-C9AE4D8E29E5}" xr6:coauthVersionLast="47" xr6:coauthVersionMax="47" xr10:uidLastSave="{00000000-0000-0000-0000-000000000000}"/>
  <bookViews>
    <workbookView xWindow="0" yWindow="500" windowWidth="25600" windowHeight="14380" xr2:uid="{00000000-000D-0000-FFFF-FFFF00000000}"/>
  </bookViews>
  <sheets>
    <sheet name="Sheet 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F14" i="1" l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9" i="1"/>
  <c r="BF340" i="1"/>
  <c r="BF341" i="1"/>
  <c r="BF342" i="1"/>
  <c r="BF343" i="1"/>
  <c r="BF344" i="1"/>
  <c r="BF345" i="1"/>
  <c r="BF346" i="1"/>
  <c r="BF347" i="1"/>
  <c r="BF348" i="1"/>
  <c r="BF349" i="1"/>
  <c r="BF350" i="1"/>
  <c r="BF351" i="1"/>
  <c r="BF352" i="1"/>
  <c r="BF353" i="1"/>
  <c r="BF354" i="1"/>
  <c r="BF355" i="1"/>
  <c r="BF356" i="1"/>
  <c r="BF357" i="1"/>
  <c r="BF358" i="1"/>
  <c r="BF359" i="1"/>
  <c r="BF360" i="1"/>
  <c r="BF361" i="1"/>
  <c r="BF362" i="1"/>
  <c r="BF363" i="1"/>
  <c r="BF364" i="1"/>
  <c r="BF365" i="1"/>
  <c r="BF367" i="1"/>
  <c r="BF368" i="1"/>
  <c r="BF369" i="1"/>
  <c r="BF370" i="1"/>
  <c r="BF371" i="1"/>
  <c r="BF372" i="1"/>
  <c r="BF373" i="1"/>
  <c r="BF374" i="1"/>
  <c r="BF375" i="1"/>
  <c r="BF376" i="1"/>
  <c r="BF377" i="1"/>
  <c r="BF378" i="1"/>
  <c r="BF379" i="1"/>
  <c r="BF380" i="1"/>
  <c r="BF381" i="1"/>
  <c r="BF382" i="1"/>
  <c r="BF383" i="1"/>
  <c r="BF384" i="1"/>
  <c r="BF385" i="1"/>
  <c r="BF386" i="1"/>
  <c r="BF387" i="1"/>
  <c r="BF388" i="1"/>
  <c r="BF389" i="1"/>
  <c r="BF390" i="1"/>
  <c r="BF391" i="1"/>
  <c r="BF392" i="1"/>
  <c r="BF393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3" i="1"/>
  <c r="BF424" i="1"/>
  <c r="BF425" i="1"/>
  <c r="BF426" i="1"/>
  <c r="BF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F443" i="1"/>
  <c r="BF444" i="1"/>
  <c r="BF445" i="1"/>
  <c r="BF446" i="1"/>
  <c r="BF447" i="1"/>
  <c r="BF448" i="1"/>
  <c r="BF449" i="1"/>
  <c r="BF451" i="1"/>
  <c r="BF452" i="1"/>
  <c r="BF453" i="1"/>
  <c r="BF454" i="1"/>
  <c r="BF455" i="1"/>
  <c r="BF456" i="1"/>
  <c r="BF457" i="1"/>
  <c r="BF458" i="1"/>
  <c r="BF459" i="1"/>
  <c r="BF460" i="1"/>
  <c r="BF461" i="1"/>
  <c r="BF462" i="1"/>
  <c r="BF463" i="1"/>
  <c r="BF464" i="1"/>
  <c r="BF465" i="1"/>
  <c r="BF466" i="1"/>
  <c r="BF467" i="1"/>
  <c r="BF468" i="1"/>
  <c r="BF469" i="1"/>
  <c r="BF470" i="1"/>
  <c r="BF471" i="1"/>
  <c r="BF472" i="1"/>
  <c r="BF473" i="1"/>
  <c r="BF474" i="1"/>
  <c r="BF475" i="1"/>
  <c r="BF476" i="1"/>
  <c r="BF477" i="1"/>
  <c r="BF4" i="1"/>
  <c r="BF5" i="1"/>
  <c r="BF6" i="1"/>
  <c r="BF7" i="1"/>
  <c r="BF8" i="1"/>
  <c r="BF9" i="1"/>
  <c r="BF10" i="1"/>
  <c r="BF11" i="1"/>
  <c r="BF12" i="1"/>
  <c r="BF13" i="1"/>
  <c r="BF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3" i="1"/>
</calcChain>
</file>

<file path=xl/sharedStrings.xml><?xml version="1.0" encoding="utf-8"?>
<sst xmlns="http://schemas.openxmlformats.org/spreadsheetml/2006/main" count="3568" uniqueCount="134">
  <si>
    <t>v1</t>
  </si>
  <si>
    <t>iso3c</t>
  </si>
  <si>
    <t>year</t>
  </si>
  <si>
    <t>code_country</t>
  </si>
  <si>
    <t>ref_y</t>
  </si>
  <si>
    <t>country</t>
  </si>
  <si>
    <t>cbi_g</t>
  </si>
  <si>
    <t>imf</t>
  </si>
  <si>
    <t>tyh_vote</t>
  </si>
  <si>
    <t>tyh_seats</t>
  </si>
  <si>
    <t>dalton_vote</t>
  </si>
  <si>
    <t>dalton_seats</t>
  </si>
  <si>
    <t>knutsen_vote</t>
  </si>
  <si>
    <t>knutsen_seats</t>
  </si>
  <si>
    <t>vdem_pol</t>
  </si>
  <si>
    <t>dalton_op</t>
  </si>
  <si>
    <t>election</t>
  </si>
  <si>
    <t>gdppc</t>
  </si>
  <si>
    <t>gdp_growth</t>
  </si>
  <si>
    <t>inflation</t>
  </si>
  <si>
    <t>unemployment</t>
  </si>
  <si>
    <t>gini</t>
  </si>
  <si>
    <t>pr_system</t>
  </si>
  <si>
    <t>idea_es_legislature</t>
  </si>
  <si>
    <t>idea_es_president</t>
  </si>
  <si>
    <t>lib_dem_index</t>
  </si>
  <si>
    <t>elect_dem_index</t>
  </si>
  <si>
    <t>legislativesize</t>
  </si>
  <si>
    <t>dist_mag_mean</t>
  </si>
  <si>
    <t>gcdodtotlgdzs</t>
  </si>
  <si>
    <t>longitude</t>
  </si>
  <si>
    <t>latitude</t>
  </si>
  <si>
    <t>income</t>
  </si>
  <si>
    <t>lending</t>
  </si>
  <si>
    <t>gdppc_wb</t>
  </si>
  <si>
    <t>gdpgrowth_wb</t>
  </si>
  <si>
    <t>gdpconstant_wb</t>
  </si>
  <si>
    <t>domesticcredit</t>
  </si>
  <si>
    <t>debt</t>
  </si>
  <si>
    <t>currentacc</t>
  </si>
  <si>
    <t>pop</t>
  </si>
  <si>
    <t>trade</t>
  </si>
  <si>
    <t>fdi</t>
  </si>
  <si>
    <t>spending</t>
  </si>
  <si>
    <t>vol_growth</t>
  </si>
  <si>
    <t>log_inflation</t>
  </si>
  <si>
    <t>pol_sq</t>
  </si>
  <si>
    <t>ln_inflation</t>
  </si>
  <si>
    <t>log_gdp</t>
  </si>
  <si>
    <t>vol_inf</t>
  </si>
  <si>
    <t>vol_spending</t>
  </si>
  <si>
    <t>polarization</t>
  </si>
  <si>
    <t>ARG</t>
  </si>
  <si>
    <t>Argenti</t>
  </si>
  <si>
    <t>PR</t>
  </si>
  <si>
    <t>List PR</t>
  </si>
  <si>
    <t>FPTP</t>
  </si>
  <si>
    <t>Upper middle income</t>
  </si>
  <si>
    <t>IBRD</t>
  </si>
  <si>
    <t>TRS</t>
  </si>
  <si>
    <t>BOL</t>
  </si>
  <si>
    <t>Bolivia</t>
  </si>
  <si>
    <t>Other</t>
  </si>
  <si>
    <t>Lower middle income</t>
  </si>
  <si>
    <t>Mixed</t>
  </si>
  <si>
    <t>MMP</t>
  </si>
  <si>
    <t>BRA</t>
  </si>
  <si>
    <t>Brazil</t>
  </si>
  <si>
    <t>CHL</t>
  </si>
  <si>
    <t>Chile</t>
  </si>
  <si>
    <t>High income</t>
  </si>
  <si>
    <t>COL</t>
  </si>
  <si>
    <t>Colombia</t>
  </si>
  <si>
    <t>CRI</t>
  </si>
  <si>
    <t>Costa Rica</t>
  </si>
  <si>
    <t>ECU</t>
  </si>
  <si>
    <t>Ecuador</t>
  </si>
  <si>
    <t>SLV</t>
  </si>
  <si>
    <t>El Salvador</t>
  </si>
  <si>
    <t>GTM</t>
  </si>
  <si>
    <t>Guatemala</t>
  </si>
  <si>
    <t>HND</t>
  </si>
  <si>
    <t>Honduras</t>
  </si>
  <si>
    <t>IDA</t>
  </si>
  <si>
    <t>MEX</t>
  </si>
  <si>
    <t>Mexico</t>
  </si>
  <si>
    <t>Parallel</t>
  </si>
  <si>
    <t>NIC</t>
  </si>
  <si>
    <t>Nicaragua</t>
  </si>
  <si>
    <t>PAN</t>
  </si>
  <si>
    <t>Pama</t>
  </si>
  <si>
    <t/>
  </si>
  <si>
    <t>PRY</t>
  </si>
  <si>
    <t>Paraguay</t>
  </si>
  <si>
    <t>PER</t>
  </si>
  <si>
    <t>Peru</t>
  </si>
  <si>
    <t>URY</t>
  </si>
  <si>
    <t>Uruguay</t>
  </si>
  <si>
    <t>VEN</t>
  </si>
  <si>
    <t>Venezuela</t>
  </si>
  <si>
    <t>Volat_A_Cohen</t>
  </si>
  <si>
    <t>NA</t>
  </si>
  <si>
    <t>Volat_B_Cohen</t>
  </si>
  <si>
    <t>Evolat_Cohen</t>
  </si>
  <si>
    <t>Enph_Schmidt</t>
  </si>
  <si>
    <t>Trade_openness</t>
  </si>
  <si>
    <t>CEPAL: en millones de dólares</t>
  </si>
  <si>
    <t>https://statistics.cepal.org/portal/cepalstat/dashboard.html?theme=2&amp;lang=es</t>
  </si>
  <si>
    <t>M2</t>
  </si>
  <si>
    <t>CEPAL:  liquidez monetaria M2 fin del período (millones de unidades monetarias del país)</t>
  </si>
  <si>
    <t>ABS(M2t - M2t-1)</t>
  </si>
  <si>
    <t>M2_Var_Porc</t>
  </si>
  <si>
    <t>Variación porcentual</t>
  </si>
  <si>
    <t>M2_Var</t>
  </si>
  <si>
    <t>M2_VarPorc</t>
  </si>
  <si>
    <t>Trade_openness_Var</t>
  </si>
  <si>
    <t>Trade_openness_VarPorc</t>
  </si>
  <si>
    <t>M1</t>
  </si>
  <si>
    <t>M1_Var</t>
  </si>
  <si>
    <t>M1_VarPorc</t>
  </si>
  <si>
    <t>FDI</t>
  </si>
  <si>
    <t>M1_Var_Porc</t>
  </si>
  <si>
    <t>ABS(M1t - M1t-1)</t>
  </si>
  <si>
    <t>CEPAL:  liquidez monetaria M1 fin del período (millones de unidades monetarias del país)</t>
  </si>
  <si>
    <t>Absoluto de la variación</t>
  </si>
  <si>
    <t xml:space="preserve">Porcentaje </t>
  </si>
  <si>
    <t>FCF</t>
  </si>
  <si>
    <t>Gross fixed capital formation (constant 2015 US$) Fuente: WDI</t>
  </si>
  <si>
    <t>FCF_Var</t>
  </si>
  <si>
    <t>FCF_VarPorc</t>
  </si>
  <si>
    <t>vol_gdppc</t>
  </si>
  <si>
    <t>gdppc_growth</t>
  </si>
  <si>
    <t>FDI_Var</t>
  </si>
  <si>
    <t>FDI_VarPorc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</si>
</sst>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77"/>
  <sheetViews>
    <sheetView tabSelected="1" zoomScale="125" workbookViewId="0">
      <pane xSplit="3" ySplit="1" topLeftCell="BK2" activePane="bottomRight" state="frozen"/>
      <selection pane="topRight" activeCell="D1" sqref="D1"/>
      <selection pane="bottomLeft" activeCell="A2" sqref="A2"/>
      <selection pane="bottomRight" activeCell="BO6" sqref="BO6"/>
    </sheetView>
  </sheetViews>
  <sheetFormatPr baseColWidth="10" defaultRowHeight="15" x14ac:dyDescent="0.2"/>
  <cols>
    <col min="52" max="54" width="12.1640625" style="1" bestFit="1" customWidth="1"/>
    <col min="55" max="55" width="12.33203125" style="1" customWidth="1"/>
    <col min="56" max="58" width="12" customWidth="1"/>
  </cols>
  <sheetData>
    <row r="1" spans="1:7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51</v>
      </c>
      <c r="AZ1" s="1" t="s">
        <v>100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115</v>
      </c>
      <c r="BF1" s="1" t="s">
        <v>116</v>
      </c>
      <c r="BG1" s="1" t="s">
        <v>108</v>
      </c>
      <c r="BH1" s="1" t="s">
        <v>113</v>
      </c>
      <c r="BI1" s="1" t="s">
        <v>114</v>
      </c>
      <c r="BJ1" s="1" t="s">
        <v>117</v>
      </c>
      <c r="BK1" s="1" t="s">
        <v>118</v>
      </c>
      <c r="BL1" s="1" t="s">
        <v>119</v>
      </c>
      <c r="BM1" s="1" t="s">
        <v>120</v>
      </c>
      <c r="BN1" s="1" t="s">
        <v>132</v>
      </c>
      <c r="BO1" s="1" t="s">
        <v>133</v>
      </c>
      <c r="BP1" t="s">
        <v>126</v>
      </c>
      <c r="BQ1" t="s">
        <v>128</v>
      </c>
      <c r="BR1" t="s">
        <v>129</v>
      </c>
      <c r="BS1" t="s">
        <v>50</v>
      </c>
      <c r="BT1" t="s">
        <v>130</v>
      </c>
      <c r="BU1" t="s">
        <v>131</v>
      </c>
    </row>
    <row r="2" spans="1:73" x14ac:dyDescent="0.2">
      <c r="A2">
        <v>1</v>
      </c>
      <c r="B2" t="s">
        <v>52</v>
      </c>
      <c r="C2">
        <v>1992</v>
      </c>
      <c r="D2">
        <v>1</v>
      </c>
      <c r="E2">
        <v>0</v>
      </c>
      <c r="F2" t="s">
        <v>53</v>
      </c>
      <c r="G2">
        <v>0.80254999999999999</v>
      </c>
      <c r="H2">
        <v>0</v>
      </c>
      <c r="O2">
        <v>-1.0999999999999999E-2</v>
      </c>
      <c r="Q2">
        <v>0</v>
      </c>
      <c r="R2">
        <v>12267.1</v>
      </c>
      <c r="S2">
        <v>6.4880000000000004</v>
      </c>
      <c r="T2">
        <v>24.9</v>
      </c>
      <c r="U2">
        <v>6.36</v>
      </c>
      <c r="V2">
        <v>45.5</v>
      </c>
      <c r="W2" t="s">
        <v>54</v>
      </c>
      <c r="X2" t="s">
        <v>55</v>
      </c>
      <c r="Y2" t="s">
        <v>56</v>
      </c>
      <c r="Z2">
        <v>0.622</v>
      </c>
      <c r="AA2">
        <v>0.83099999999999996</v>
      </c>
      <c r="AB2">
        <v>257</v>
      </c>
      <c r="AC2">
        <v>10.7</v>
      </c>
      <c r="AE2">
        <v>-58.417299999999997</v>
      </c>
      <c r="AF2">
        <v>-34.611800000000002</v>
      </c>
      <c r="AG2" t="s">
        <v>57</v>
      </c>
      <c r="AH2" t="s">
        <v>58</v>
      </c>
      <c r="AI2">
        <v>9338.6990000000005</v>
      </c>
      <c r="AJ2">
        <v>7.9372920000000002</v>
      </c>
      <c r="AK2">
        <v>313000000000</v>
      </c>
      <c r="AL2">
        <v>15.44534</v>
      </c>
      <c r="AN2">
        <v>-2.424839</v>
      </c>
      <c r="AO2">
        <v>65.54674</v>
      </c>
      <c r="AP2">
        <v>14.730980000000001</v>
      </c>
      <c r="AQ2">
        <v>1.936712</v>
      </c>
      <c r="AR2">
        <v>2.9755379999999998</v>
      </c>
      <c r="AT2">
        <v>3.2148680000000001</v>
      </c>
      <c r="AU2">
        <v>1.21E-4</v>
      </c>
      <c r="AV2">
        <v>3.2148680000000001</v>
      </c>
      <c r="AW2">
        <v>26.469850000000001</v>
      </c>
      <c r="AY2">
        <v>2.6147371764332199</v>
      </c>
      <c r="AZ2" s="1">
        <v>0.34200000762939498</v>
      </c>
      <c r="BA2" s="1">
        <v>0.25049999356269798</v>
      </c>
      <c r="BB2" s="1">
        <v>0.59249997138977095</v>
      </c>
      <c r="BC2" s="1">
        <v>3.1504414000000001</v>
      </c>
      <c r="BD2" s="2">
        <v>15.51294835272</v>
      </c>
      <c r="BE2" s="2"/>
      <c r="BF2" s="2"/>
      <c r="BG2" s="3">
        <v>20478</v>
      </c>
      <c r="BH2" s="3">
        <v>7669</v>
      </c>
      <c r="BI2">
        <v>59.871965024592086</v>
      </c>
      <c r="BJ2" s="3">
        <v>11836</v>
      </c>
      <c r="BK2">
        <v>3692</v>
      </c>
      <c r="BL2">
        <v>45.333988212180749</v>
      </c>
      <c r="BM2" s="3">
        <v>3265.07</v>
      </c>
      <c r="BN2">
        <v>826.07000000000016</v>
      </c>
      <c r="BO2">
        <v>33.869208692086929</v>
      </c>
      <c r="BP2">
        <v>40772703492.665298</v>
      </c>
      <c r="BQ2">
        <v>10034134489.380898</v>
      </c>
      <c r="BR2">
        <v>32.643466546242784</v>
      </c>
      <c r="BU2">
        <v>6.4876318180552497</v>
      </c>
    </row>
    <row r="3" spans="1:73" x14ac:dyDescent="0.2">
      <c r="A3">
        <v>2</v>
      </c>
      <c r="B3" t="s">
        <v>52</v>
      </c>
      <c r="C3">
        <v>1993</v>
      </c>
      <c r="D3">
        <v>1</v>
      </c>
      <c r="E3">
        <v>0</v>
      </c>
      <c r="F3" t="s">
        <v>53</v>
      </c>
      <c r="G3">
        <v>0.80254999999999999</v>
      </c>
      <c r="H3">
        <v>0</v>
      </c>
      <c r="O3">
        <v>-1.0999999999999999E-2</v>
      </c>
      <c r="Q3">
        <v>1</v>
      </c>
      <c r="R3">
        <v>12926.8</v>
      </c>
      <c r="S3">
        <v>6.8029999999999999</v>
      </c>
      <c r="T3">
        <v>18512</v>
      </c>
      <c r="U3">
        <v>10.1</v>
      </c>
      <c r="V3">
        <v>44.9</v>
      </c>
      <c r="W3" t="s">
        <v>54</v>
      </c>
      <c r="X3" t="s">
        <v>55</v>
      </c>
      <c r="Y3" t="s">
        <v>56</v>
      </c>
      <c r="Z3">
        <v>0.623</v>
      </c>
      <c r="AA3">
        <v>0.83199999999999996</v>
      </c>
      <c r="AB3">
        <v>257</v>
      </c>
      <c r="AC3">
        <v>10.7</v>
      </c>
      <c r="AE3">
        <v>-58.417299999999997</v>
      </c>
      <c r="AF3">
        <v>-34.611800000000002</v>
      </c>
      <c r="AG3" t="s">
        <v>57</v>
      </c>
      <c r="AH3" t="s">
        <v>58</v>
      </c>
      <c r="AI3">
        <v>9974.0049999999992</v>
      </c>
      <c r="AJ3">
        <v>8.2069790000000005</v>
      </c>
      <c r="AK3">
        <v>339000000000</v>
      </c>
      <c r="AL3">
        <v>18.284610000000001</v>
      </c>
      <c r="AN3">
        <v>-3.4661780000000002</v>
      </c>
      <c r="AO3">
        <v>65.018010000000004</v>
      </c>
      <c r="AP3">
        <v>16.22315</v>
      </c>
      <c r="AQ3">
        <v>1.1798029999999999</v>
      </c>
      <c r="AR3">
        <v>13.51038</v>
      </c>
      <c r="AS3">
        <v>0.26968720000000002</v>
      </c>
      <c r="AT3">
        <v>9.8261749999999992</v>
      </c>
      <c r="AU3">
        <v>1.21E-4</v>
      </c>
      <c r="AV3">
        <v>9.8261749999999992</v>
      </c>
      <c r="AW3">
        <v>26.548729999999999</v>
      </c>
      <c r="AX3">
        <v>18487.099999999999</v>
      </c>
      <c r="AY3">
        <v>2.6147371764332199</v>
      </c>
      <c r="AZ3" s="1">
        <v>0.13199999928474401</v>
      </c>
      <c r="BA3" s="1">
        <v>0.12900000810623199</v>
      </c>
      <c r="BB3" s="1">
        <v>0.26100000739097601</v>
      </c>
      <c r="BC3" s="1">
        <v>2.8593879000000002</v>
      </c>
      <c r="BD3" s="2">
        <v>14.950114878400001</v>
      </c>
      <c r="BE3" s="2">
        <f>ABS(BD3-BD2)</f>
        <v>0.56283347431999964</v>
      </c>
      <c r="BF3" s="2">
        <f>100*ABS(BD3-BD2)/BD2</f>
        <v>3.6281528277074027</v>
      </c>
      <c r="BG3" s="3">
        <v>29287</v>
      </c>
      <c r="BH3" s="3">
        <v>8809</v>
      </c>
      <c r="BI3">
        <v>43.016896181267704</v>
      </c>
      <c r="BJ3" s="3">
        <v>16179</v>
      </c>
      <c r="BK3">
        <v>4343</v>
      </c>
      <c r="BL3">
        <v>36.693139574180464</v>
      </c>
      <c r="BM3" s="3">
        <v>2088.1999999999998</v>
      </c>
      <c r="BN3">
        <v>1176.8700000000003</v>
      </c>
      <c r="BO3">
        <v>36.04425019984258</v>
      </c>
      <c r="BP3">
        <v>46327225414.125801</v>
      </c>
      <c r="BQ3">
        <v>5554521921.4605026</v>
      </c>
      <c r="BR3">
        <v>13.623138633570667</v>
      </c>
      <c r="BS3">
        <v>10.534840000000001</v>
      </c>
      <c r="BT3">
        <v>0.3152952</v>
      </c>
      <c r="BU3">
        <v>6.8029269015024303</v>
      </c>
    </row>
    <row r="4" spans="1:73" x14ac:dyDescent="0.2">
      <c r="A4">
        <v>3</v>
      </c>
      <c r="B4" t="s">
        <v>52</v>
      </c>
      <c r="C4">
        <v>1994</v>
      </c>
      <c r="D4">
        <v>1</v>
      </c>
      <c r="E4">
        <v>0</v>
      </c>
      <c r="F4" t="s">
        <v>53</v>
      </c>
      <c r="G4">
        <v>0.80254999999999999</v>
      </c>
      <c r="H4">
        <v>0</v>
      </c>
      <c r="O4">
        <v>-1.0999999999999999E-2</v>
      </c>
      <c r="Q4">
        <v>0</v>
      </c>
      <c r="R4">
        <v>13571.4</v>
      </c>
      <c r="S4">
        <v>4.5049999999999999</v>
      </c>
      <c r="T4">
        <v>4177</v>
      </c>
      <c r="U4">
        <v>11.76</v>
      </c>
      <c r="V4">
        <v>45.9</v>
      </c>
      <c r="W4" t="s">
        <v>54</v>
      </c>
      <c r="X4" t="s">
        <v>55</v>
      </c>
      <c r="Y4" t="s">
        <v>56</v>
      </c>
      <c r="Z4">
        <v>0.628</v>
      </c>
      <c r="AA4">
        <v>0.84</v>
      </c>
      <c r="AB4">
        <v>257</v>
      </c>
      <c r="AC4">
        <v>10.7</v>
      </c>
      <c r="AE4">
        <v>-58.417299999999997</v>
      </c>
      <c r="AF4">
        <v>-34.611800000000002</v>
      </c>
      <c r="AG4" t="s">
        <v>57</v>
      </c>
      <c r="AH4" t="s">
        <v>58</v>
      </c>
      <c r="AI4">
        <v>10423.379999999999</v>
      </c>
      <c r="AJ4">
        <v>5.836201</v>
      </c>
      <c r="AK4">
        <v>359000000000</v>
      </c>
      <c r="AL4">
        <v>20.28058</v>
      </c>
      <c r="AN4">
        <v>-4.2648590000000004</v>
      </c>
      <c r="AO4">
        <v>64.468050000000005</v>
      </c>
      <c r="AP4">
        <v>18.134350000000001</v>
      </c>
      <c r="AQ4">
        <v>1.411953</v>
      </c>
      <c r="AR4">
        <v>13.1869</v>
      </c>
      <c r="AS4">
        <v>2.3707780000000001</v>
      </c>
      <c r="AT4">
        <v>8.3373489999999997</v>
      </c>
      <c r="AU4">
        <v>1.21E-4</v>
      </c>
      <c r="AV4">
        <v>8.3373489999999997</v>
      </c>
      <c r="AW4">
        <v>26.605450000000001</v>
      </c>
      <c r="AX4">
        <v>14335</v>
      </c>
      <c r="AY4">
        <v>2.6147371764332199</v>
      </c>
      <c r="AZ4" s="1">
        <v>0.13199999928474401</v>
      </c>
      <c r="BA4" s="1">
        <v>0.12900000810623199</v>
      </c>
      <c r="BB4" s="1">
        <v>0.26100000739097601</v>
      </c>
      <c r="BC4" s="1">
        <v>2.8593879000000002</v>
      </c>
      <c r="BD4" s="2">
        <v>16.709271152311999</v>
      </c>
      <c r="BE4" s="2">
        <f t="shared" ref="BE4:BE67" si="0">ABS(BD4-BD3)</f>
        <v>1.7591562739119979</v>
      </c>
      <c r="BF4" s="2">
        <f t="shared" ref="BF4:BF67" si="1">100*ABS(BD4-BD3)/BD3</f>
        <v>11.766841179619533</v>
      </c>
      <c r="BG4" s="3">
        <v>31336</v>
      </c>
      <c r="BH4" s="3">
        <v>2049</v>
      </c>
      <c r="BI4">
        <v>6.9962782121760512</v>
      </c>
      <c r="BJ4" s="3">
        <v>16943</v>
      </c>
      <c r="BK4">
        <v>764</v>
      </c>
      <c r="BL4">
        <v>4.7221707151245438</v>
      </c>
      <c r="BM4" s="3">
        <v>2622.0877999999998</v>
      </c>
      <c r="BN4">
        <v>533.88779999999997</v>
      </c>
      <c r="BO4">
        <v>25.566890144622164</v>
      </c>
      <c r="BP4">
        <v>52661207597.974998</v>
      </c>
      <c r="BQ4">
        <v>6333982183.8491974</v>
      </c>
      <c r="BR4">
        <v>13.672267499788321</v>
      </c>
      <c r="BS4">
        <v>0.32347490000000001</v>
      </c>
      <c r="BT4">
        <v>2.2974700000000001</v>
      </c>
      <c r="BU4">
        <v>4.5054568014144802</v>
      </c>
    </row>
    <row r="5" spans="1:73" x14ac:dyDescent="0.2">
      <c r="A5">
        <v>4</v>
      </c>
      <c r="B5" t="s">
        <v>52</v>
      </c>
      <c r="C5">
        <v>1995</v>
      </c>
      <c r="D5">
        <v>1</v>
      </c>
      <c r="E5">
        <v>1</v>
      </c>
      <c r="F5" t="s">
        <v>53</v>
      </c>
      <c r="G5">
        <v>0.80254999999999999</v>
      </c>
      <c r="H5">
        <v>0</v>
      </c>
      <c r="I5">
        <v>0.55700000000000005</v>
      </c>
      <c r="J5">
        <v>0.36799999999999999</v>
      </c>
      <c r="K5">
        <v>1.6579999999999999</v>
      </c>
      <c r="L5">
        <v>1.349</v>
      </c>
      <c r="M5">
        <v>0.56399999999999995</v>
      </c>
      <c r="N5">
        <v>0.48</v>
      </c>
      <c r="O5">
        <v>-1.0999999999999999E-2</v>
      </c>
      <c r="P5">
        <v>3.6680000000000001</v>
      </c>
      <c r="Q5">
        <v>1</v>
      </c>
      <c r="R5">
        <v>13086</v>
      </c>
      <c r="S5">
        <v>-4.032</v>
      </c>
      <c r="T5">
        <v>3376</v>
      </c>
      <c r="U5">
        <v>18.8</v>
      </c>
      <c r="V5">
        <v>48.9</v>
      </c>
      <c r="W5" t="s">
        <v>54</v>
      </c>
      <c r="X5" t="s">
        <v>55</v>
      </c>
      <c r="Y5" t="s">
        <v>59</v>
      </c>
      <c r="Z5">
        <v>0.63</v>
      </c>
      <c r="AA5">
        <v>0.83699999999999997</v>
      </c>
      <c r="AB5">
        <v>257</v>
      </c>
      <c r="AC5">
        <v>10.7</v>
      </c>
      <c r="AE5">
        <v>-58.417299999999997</v>
      </c>
      <c r="AF5">
        <v>-34.611800000000002</v>
      </c>
      <c r="AG5" t="s">
        <v>57</v>
      </c>
      <c r="AH5" t="s">
        <v>58</v>
      </c>
      <c r="AI5">
        <v>10003.09</v>
      </c>
      <c r="AJ5">
        <v>-2.8452099999999998</v>
      </c>
      <c r="AK5">
        <v>348000000000</v>
      </c>
      <c r="AL5">
        <v>19.960609999999999</v>
      </c>
      <c r="AN5">
        <v>-1.98346</v>
      </c>
      <c r="AO5">
        <v>63.979610000000001</v>
      </c>
      <c r="AP5">
        <v>19.771419999999999</v>
      </c>
      <c r="AQ5">
        <v>2.1739280000000001</v>
      </c>
      <c r="AR5">
        <v>13.349460000000001</v>
      </c>
      <c r="AS5">
        <v>8.6814099999999996</v>
      </c>
      <c r="AT5">
        <v>8.124447</v>
      </c>
      <c r="AU5">
        <v>1.21E-4</v>
      </c>
      <c r="AV5">
        <v>8.124447</v>
      </c>
      <c r="AW5">
        <v>26.576589999999999</v>
      </c>
      <c r="AX5">
        <v>801</v>
      </c>
      <c r="AY5">
        <v>2.6147371764332199</v>
      </c>
      <c r="AZ5" s="1">
        <v>0.27750000357627902</v>
      </c>
      <c r="BA5" s="1">
        <v>0.21299999952316301</v>
      </c>
      <c r="BB5" s="1">
        <v>0.49050000309944197</v>
      </c>
      <c r="BC5" s="1">
        <v>2.8636034000000001</v>
      </c>
      <c r="BD5" s="2">
        <v>18.23342478288</v>
      </c>
      <c r="BE5" s="2">
        <f t="shared" si="0"/>
        <v>1.5241536305680015</v>
      </c>
      <c r="BF5" s="2">
        <f t="shared" si="1"/>
        <v>9.1216045073103622</v>
      </c>
      <c r="BG5" s="3">
        <v>28635</v>
      </c>
      <c r="BH5" s="3">
        <v>2701</v>
      </c>
      <c r="BI5">
        <v>8.6194791932601476</v>
      </c>
      <c r="BJ5" s="3">
        <v>16644</v>
      </c>
      <c r="BK5">
        <v>299</v>
      </c>
      <c r="BL5">
        <v>1.7647406008381041</v>
      </c>
      <c r="BM5" s="3">
        <v>4112.2744000000002</v>
      </c>
      <c r="BN5">
        <v>1490.1866000000005</v>
      </c>
      <c r="BO5">
        <v>56.832063365688995</v>
      </c>
      <c r="BP5">
        <v>45770986408.984299</v>
      </c>
      <c r="BQ5">
        <v>6890221188.9906998</v>
      </c>
      <c r="BR5">
        <v>13.084054664283187</v>
      </c>
      <c r="BS5">
        <v>0.1625519</v>
      </c>
      <c r="BT5">
        <v>8.5376159999999999</v>
      </c>
      <c r="BU5">
        <v>-4.0321588108822102</v>
      </c>
    </row>
    <row r="6" spans="1:73" x14ac:dyDescent="0.2">
      <c r="A6">
        <v>5</v>
      </c>
      <c r="B6" t="s">
        <v>52</v>
      </c>
      <c r="C6">
        <v>1996</v>
      </c>
      <c r="D6">
        <v>1</v>
      </c>
      <c r="E6">
        <v>0</v>
      </c>
      <c r="F6" t="s">
        <v>53</v>
      </c>
      <c r="G6">
        <v>0.80254999999999999</v>
      </c>
      <c r="H6">
        <v>1</v>
      </c>
      <c r="I6">
        <v>0.55700000000000005</v>
      </c>
      <c r="J6">
        <v>0.36799999999999999</v>
      </c>
      <c r="K6">
        <v>1.6579999999999999</v>
      </c>
      <c r="L6">
        <v>1.349</v>
      </c>
      <c r="M6">
        <v>0.56399999999999995</v>
      </c>
      <c r="N6">
        <v>0.48</v>
      </c>
      <c r="O6">
        <v>-1.0999999999999999E-2</v>
      </c>
      <c r="P6">
        <v>3.548</v>
      </c>
      <c r="Q6">
        <v>0</v>
      </c>
      <c r="R6">
        <v>13715.2</v>
      </c>
      <c r="S6">
        <v>4.2750000000000004</v>
      </c>
      <c r="T6">
        <v>0.16</v>
      </c>
      <c r="U6">
        <v>17.11</v>
      </c>
      <c r="V6">
        <v>49.5</v>
      </c>
      <c r="W6" t="s">
        <v>54</v>
      </c>
      <c r="X6" t="s">
        <v>55</v>
      </c>
      <c r="Y6" t="s">
        <v>59</v>
      </c>
      <c r="Z6">
        <v>0.61899999999999999</v>
      </c>
      <c r="AA6">
        <v>0.83099999999999996</v>
      </c>
      <c r="AB6">
        <v>257</v>
      </c>
      <c r="AC6">
        <v>10.7</v>
      </c>
      <c r="AE6">
        <v>-58.417299999999997</v>
      </c>
      <c r="AF6">
        <v>-34.611800000000002</v>
      </c>
      <c r="AG6" t="s">
        <v>57</v>
      </c>
      <c r="AH6" t="s">
        <v>58</v>
      </c>
      <c r="AI6">
        <v>10430.68</v>
      </c>
      <c r="AJ6">
        <v>5.5266900000000003</v>
      </c>
      <c r="AK6">
        <v>368000000000</v>
      </c>
      <c r="AL6">
        <v>20.187000000000001</v>
      </c>
      <c r="AN6">
        <v>-2.4875929999999999</v>
      </c>
      <c r="AO6">
        <v>63.570399999999999</v>
      </c>
      <c r="AP6">
        <v>21.50647</v>
      </c>
      <c r="AQ6">
        <v>2.5532029999999999</v>
      </c>
      <c r="AR6">
        <v>12.50168</v>
      </c>
      <c r="AS6">
        <v>8.3719000000000001</v>
      </c>
      <c r="AT6">
        <v>-1.8325819999999999</v>
      </c>
      <c r="AU6">
        <v>1.21E-4</v>
      </c>
      <c r="AV6">
        <v>-1.8325819999999999</v>
      </c>
      <c r="AW6">
        <v>26.630379999999999</v>
      </c>
      <c r="AX6">
        <v>3375.84</v>
      </c>
      <c r="AY6">
        <v>2.6147371764332199</v>
      </c>
      <c r="AZ6" s="1">
        <v>0.27750000357627902</v>
      </c>
      <c r="BA6" s="1">
        <v>0.21299999952316301</v>
      </c>
      <c r="BB6" s="1">
        <v>0.49050000309944197</v>
      </c>
      <c r="BC6" s="1">
        <v>2.8636034000000001</v>
      </c>
      <c r="BD6" s="2">
        <v>19.832428361961998</v>
      </c>
      <c r="BE6" s="2">
        <f t="shared" si="0"/>
        <v>1.5990035790819981</v>
      </c>
      <c r="BF6" s="2">
        <f t="shared" si="1"/>
        <v>8.7696282959598371</v>
      </c>
      <c r="BG6" s="3">
        <v>34345</v>
      </c>
      <c r="BH6" s="3">
        <v>5710</v>
      </c>
      <c r="BI6">
        <v>19.940632093591759</v>
      </c>
      <c r="BJ6" s="3">
        <v>19903</v>
      </c>
      <c r="BK6">
        <v>3259</v>
      </c>
      <c r="BL6">
        <v>19.580629656332611</v>
      </c>
      <c r="BM6" s="3">
        <v>5347.7875999999997</v>
      </c>
      <c r="BN6">
        <v>1235.5131999999994</v>
      </c>
      <c r="BO6">
        <v>30.044522320786751</v>
      </c>
      <c r="BP6">
        <v>49836963889.774696</v>
      </c>
      <c r="BQ6">
        <v>4065977480.7903976</v>
      </c>
      <c r="BR6">
        <v>8.8833075268666164</v>
      </c>
      <c r="BS6">
        <v>0.84777829999999998</v>
      </c>
      <c r="BT6">
        <v>8.3067460000000004</v>
      </c>
      <c r="BU6">
        <v>4.2745864648312297</v>
      </c>
    </row>
    <row r="7" spans="1:73" x14ac:dyDescent="0.2">
      <c r="A7">
        <v>6</v>
      </c>
      <c r="B7" t="s">
        <v>52</v>
      </c>
      <c r="C7">
        <v>1997</v>
      </c>
      <c r="D7">
        <v>1</v>
      </c>
      <c r="E7">
        <v>1</v>
      </c>
      <c r="F7" t="s">
        <v>53</v>
      </c>
      <c r="G7">
        <v>0.80254999999999999</v>
      </c>
      <c r="H7">
        <v>0</v>
      </c>
      <c r="I7">
        <v>0.76900000000000002</v>
      </c>
      <c r="J7">
        <v>1.395</v>
      </c>
      <c r="K7">
        <v>1.708</v>
      </c>
      <c r="L7">
        <v>3.0990000000000002</v>
      </c>
      <c r="M7">
        <v>0.69299999999999995</v>
      </c>
      <c r="N7">
        <v>1.1220000000000001</v>
      </c>
      <c r="O7">
        <v>-1.0999999999999999E-2</v>
      </c>
      <c r="P7">
        <v>3.7869999999999999</v>
      </c>
      <c r="Q7">
        <v>1</v>
      </c>
      <c r="R7">
        <v>14722.7</v>
      </c>
      <c r="S7">
        <v>6.8650000000000002</v>
      </c>
      <c r="T7">
        <v>0.53</v>
      </c>
      <c r="U7">
        <v>14.82</v>
      </c>
      <c r="V7">
        <v>49.1</v>
      </c>
      <c r="W7" t="s">
        <v>54</v>
      </c>
      <c r="X7" t="s">
        <v>55</v>
      </c>
      <c r="Y7" t="s">
        <v>59</v>
      </c>
      <c r="Z7">
        <v>0.61899999999999999</v>
      </c>
      <c r="AA7">
        <v>0.83099999999999996</v>
      </c>
      <c r="AB7">
        <v>257</v>
      </c>
      <c r="AC7">
        <v>10.7</v>
      </c>
      <c r="AE7">
        <v>-58.417299999999997</v>
      </c>
      <c r="AF7">
        <v>-34.611800000000002</v>
      </c>
      <c r="AG7" t="s">
        <v>57</v>
      </c>
      <c r="AH7" t="s">
        <v>58</v>
      </c>
      <c r="AI7">
        <v>11146.72</v>
      </c>
      <c r="AJ7">
        <v>8.1110469999999992</v>
      </c>
      <c r="AK7">
        <v>398000000000</v>
      </c>
      <c r="AL7">
        <v>21.93346</v>
      </c>
      <c r="AN7">
        <v>-4.1446800000000001</v>
      </c>
      <c r="AO7">
        <v>63.15466</v>
      </c>
      <c r="AP7">
        <v>23.336179999999999</v>
      </c>
      <c r="AQ7">
        <v>3.1278779999999999</v>
      </c>
      <c r="AR7">
        <v>12.062010000000001</v>
      </c>
      <c r="AS7">
        <v>2.5843569999999998</v>
      </c>
      <c r="AT7">
        <v>-0.63487830000000001</v>
      </c>
      <c r="AU7">
        <v>1.21E-4</v>
      </c>
      <c r="AV7">
        <v>-0.63487830000000001</v>
      </c>
      <c r="AW7">
        <v>26.708369999999999</v>
      </c>
      <c r="AX7">
        <v>0.37</v>
      </c>
      <c r="AY7">
        <v>2.6147371764332199</v>
      </c>
      <c r="AZ7" s="1">
        <v>0.39699998497963002</v>
      </c>
      <c r="BA7" s="1">
        <v>0.31900000572204601</v>
      </c>
      <c r="BB7" s="1">
        <v>0.71599996089935303</v>
      </c>
      <c r="BC7" s="1">
        <v>2.4887526000000002</v>
      </c>
      <c r="BD7" s="2">
        <v>21.511646970095999</v>
      </c>
      <c r="BE7" s="2">
        <f t="shared" si="0"/>
        <v>1.6792186081340006</v>
      </c>
      <c r="BF7" s="2">
        <f t="shared" si="1"/>
        <v>8.4670347850830581</v>
      </c>
      <c r="BG7" s="3">
        <v>42920</v>
      </c>
      <c r="BH7" s="3">
        <v>8575</v>
      </c>
      <c r="BI7">
        <v>24.967244140340661</v>
      </c>
      <c r="BJ7" s="3">
        <v>23201</v>
      </c>
      <c r="BK7">
        <v>3298</v>
      </c>
      <c r="BL7">
        <v>16.570366276440737</v>
      </c>
      <c r="BM7" s="3">
        <v>5507.4539999999997</v>
      </c>
      <c r="BN7">
        <v>159.66640000000007</v>
      </c>
      <c r="BO7">
        <v>2.9856533569134287</v>
      </c>
      <c r="BP7">
        <v>58639598832.061096</v>
      </c>
      <c r="BQ7">
        <v>8802634942.2863998</v>
      </c>
      <c r="BR7">
        <v>17.662863576030325</v>
      </c>
      <c r="BS7">
        <v>0.43966290000000002</v>
      </c>
      <c r="BT7">
        <v>2.590147</v>
      </c>
      <c r="BU7">
        <v>6.8647333618104804</v>
      </c>
    </row>
    <row r="8" spans="1:73" x14ac:dyDescent="0.2">
      <c r="A8">
        <v>7</v>
      </c>
      <c r="B8" t="s">
        <v>52</v>
      </c>
      <c r="C8">
        <v>1998</v>
      </c>
      <c r="D8">
        <v>1</v>
      </c>
      <c r="E8">
        <v>0</v>
      </c>
      <c r="F8" t="s">
        <v>53</v>
      </c>
      <c r="G8">
        <v>0.80254999999999999</v>
      </c>
      <c r="H8">
        <v>0</v>
      </c>
      <c r="I8">
        <v>0.76900000000000002</v>
      </c>
      <c r="J8">
        <v>1.395</v>
      </c>
      <c r="K8">
        <v>1.708</v>
      </c>
      <c r="L8">
        <v>3.0990000000000002</v>
      </c>
      <c r="M8">
        <v>0.69299999999999995</v>
      </c>
      <c r="N8">
        <v>1.1220000000000001</v>
      </c>
      <c r="O8">
        <v>-1.0999999999999999E-2</v>
      </c>
      <c r="P8">
        <v>4.7060000000000004</v>
      </c>
      <c r="Q8">
        <v>0</v>
      </c>
      <c r="R8">
        <v>15186</v>
      </c>
      <c r="S8">
        <v>2.681</v>
      </c>
      <c r="T8">
        <v>0.93</v>
      </c>
      <c r="U8">
        <v>12.65</v>
      </c>
      <c r="V8">
        <v>50.7</v>
      </c>
      <c r="W8" t="s">
        <v>54</v>
      </c>
      <c r="X8" t="s">
        <v>55</v>
      </c>
      <c r="Y8" t="s">
        <v>59</v>
      </c>
      <c r="Z8">
        <v>0.625</v>
      </c>
      <c r="AA8">
        <v>0.83</v>
      </c>
      <c r="AB8">
        <v>257</v>
      </c>
      <c r="AC8">
        <v>10.7</v>
      </c>
      <c r="AE8">
        <v>-58.417299999999997</v>
      </c>
      <c r="AF8">
        <v>-34.611800000000002</v>
      </c>
      <c r="AG8" t="s">
        <v>57</v>
      </c>
      <c r="AH8" t="s">
        <v>58</v>
      </c>
      <c r="AI8">
        <v>11445.56</v>
      </c>
      <c r="AJ8">
        <v>3.8501789999999998</v>
      </c>
      <c r="AK8">
        <v>413000000000</v>
      </c>
      <c r="AL8">
        <v>24.153300000000002</v>
      </c>
      <c r="AN8">
        <v>-4.8443160000000001</v>
      </c>
      <c r="AO8">
        <v>62.734879999999997</v>
      </c>
      <c r="AP8">
        <v>23.35003</v>
      </c>
      <c r="AQ8">
        <v>2.4387690000000002</v>
      </c>
      <c r="AR8">
        <v>12.494770000000001</v>
      </c>
      <c r="AS8">
        <v>4.2608680000000003</v>
      </c>
      <c r="AT8">
        <v>-7.2570700000000002E-2</v>
      </c>
      <c r="AU8">
        <v>1.21E-4</v>
      </c>
      <c r="AV8">
        <v>-7.2570700000000002E-2</v>
      </c>
      <c r="AW8">
        <v>26.74615</v>
      </c>
      <c r="AX8">
        <v>0.4</v>
      </c>
      <c r="AY8">
        <v>2.6147371764332199</v>
      </c>
      <c r="AZ8" s="1">
        <v>0.39699998497963002</v>
      </c>
      <c r="BA8" s="1">
        <v>0.31900000572204601</v>
      </c>
      <c r="BB8" s="1">
        <v>0.71599996089935303</v>
      </c>
      <c r="BC8" s="1">
        <v>2.4887526000000002</v>
      </c>
      <c r="BD8" s="2">
        <v>21.522774951094998</v>
      </c>
      <c r="BE8" s="2">
        <f t="shared" si="0"/>
        <v>1.1127980998999476E-2</v>
      </c>
      <c r="BF8" s="2">
        <f t="shared" si="1"/>
        <v>5.1730027991203201E-2</v>
      </c>
      <c r="BG8" s="3">
        <v>46007</v>
      </c>
      <c r="BH8" s="3">
        <v>3087</v>
      </c>
      <c r="BI8">
        <v>7.1924510717614165</v>
      </c>
      <c r="BJ8" s="3">
        <v>23756</v>
      </c>
      <c r="BK8">
        <v>555</v>
      </c>
      <c r="BL8">
        <v>2.3921382699021594</v>
      </c>
      <c r="BM8" s="3">
        <v>4965.1800999999996</v>
      </c>
      <c r="BN8">
        <v>542.27390000000014</v>
      </c>
      <c r="BO8">
        <v>9.8461811937058421</v>
      </c>
      <c r="BP8">
        <v>62476955246.504501</v>
      </c>
      <c r="BQ8">
        <v>3837356414.4434052</v>
      </c>
      <c r="BR8">
        <v>6.5439677127281737</v>
      </c>
      <c r="BS8">
        <v>0.43276019999999998</v>
      </c>
      <c r="BT8">
        <v>4.1837299999999997</v>
      </c>
      <c r="BU8">
        <v>2.6810028160780601</v>
      </c>
    </row>
    <row r="9" spans="1:73" x14ac:dyDescent="0.2">
      <c r="A9">
        <v>8</v>
      </c>
      <c r="B9" t="s">
        <v>52</v>
      </c>
      <c r="C9">
        <v>1999</v>
      </c>
      <c r="D9">
        <v>1</v>
      </c>
      <c r="E9">
        <v>0</v>
      </c>
      <c r="F9" t="s">
        <v>53</v>
      </c>
      <c r="G9">
        <v>0.80254999999999999</v>
      </c>
      <c r="H9">
        <v>0</v>
      </c>
      <c r="O9">
        <v>-1.0999999999999999E-2</v>
      </c>
      <c r="P9">
        <v>4.7060000000000004</v>
      </c>
      <c r="Q9">
        <v>1</v>
      </c>
      <c r="R9">
        <v>14577.8</v>
      </c>
      <c r="S9">
        <v>-4.4550000000000001</v>
      </c>
      <c r="T9">
        <v>-1.67</v>
      </c>
      <c r="U9">
        <v>14.05</v>
      </c>
      <c r="V9">
        <v>49.8</v>
      </c>
      <c r="W9" t="s">
        <v>54</v>
      </c>
      <c r="X9" t="s">
        <v>55</v>
      </c>
      <c r="Y9" t="s">
        <v>59</v>
      </c>
      <c r="Z9">
        <v>0.624</v>
      </c>
      <c r="AA9">
        <v>0.83</v>
      </c>
      <c r="AB9">
        <v>257</v>
      </c>
      <c r="AC9">
        <v>10.7</v>
      </c>
      <c r="AE9">
        <v>-58.417299999999997</v>
      </c>
      <c r="AF9">
        <v>-34.611800000000002</v>
      </c>
      <c r="AG9" t="s">
        <v>57</v>
      </c>
      <c r="AH9" t="s">
        <v>58</v>
      </c>
      <c r="AI9">
        <v>10935.64</v>
      </c>
      <c r="AJ9">
        <v>-3.3854570000000002</v>
      </c>
      <c r="AK9">
        <v>399000000000</v>
      </c>
      <c r="AL9">
        <v>24.893339999999998</v>
      </c>
      <c r="AN9">
        <v>-4.2122950000000001</v>
      </c>
      <c r="AO9">
        <v>62.283450000000002</v>
      </c>
      <c r="AP9">
        <v>21.382750000000001</v>
      </c>
      <c r="AQ9">
        <v>8.4605820000000005</v>
      </c>
      <c r="AR9">
        <v>13.72321</v>
      </c>
      <c r="AS9">
        <v>7.2356360000000004</v>
      </c>
      <c r="AU9">
        <v>1.21E-4</v>
      </c>
      <c r="AW9">
        <v>26.71171</v>
      </c>
      <c r="AX9">
        <v>2.6</v>
      </c>
      <c r="AY9">
        <v>2.6147371764332199</v>
      </c>
      <c r="AZ9" s="1">
        <v>0.32850000262260398</v>
      </c>
      <c r="BA9" s="1">
        <v>0.139499992132187</v>
      </c>
      <c r="BB9" s="1">
        <v>0.46799999475479098</v>
      </c>
      <c r="BC9" s="1">
        <v>2.5639145000000001</v>
      </c>
      <c r="BD9" s="2">
        <v>19.712540690788</v>
      </c>
      <c r="BE9" s="2">
        <f t="shared" si="0"/>
        <v>1.8102342603069985</v>
      </c>
      <c r="BF9" s="2">
        <f t="shared" si="1"/>
        <v>8.4107846893362623</v>
      </c>
      <c r="BG9" s="3">
        <v>43571</v>
      </c>
      <c r="BH9" s="3">
        <v>2436</v>
      </c>
      <c r="BI9">
        <v>5.2948464364118504</v>
      </c>
      <c r="BJ9" s="3">
        <v>22838</v>
      </c>
      <c r="BK9">
        <v>918</v>
      </c>
      <c r="BL9">
        <v>3.8642869169893923</v>
      </c>
      <c r="BM9" s="3">
        <v>22257.4133</v>
      </c>
      <c r="BN9">
        <v>17292.233200000002</v>
      </c>
      <c r="BO9">
        <v>348.2700093799217</v>
      </c>
      <c r="BP9">
        <v>54598702029.705498</v>
      </c>
      <c r="BQ9">
        <v>7878253216.7990036</v>
      </c>
      <c r="BR9">
        <v>12.609854602733352</v>
      </c>
      <c r="BS9">
        <v>1.2284360000000001</v>
      </c>
      <c r="BT9">
        <v>7.1361809999999997</v>
      </c>
      <c r="BU9">
        <v>-4.4551784591152996</v>
      </c>
    </row>
    <row r="10" spans="1:73" x14ac:dyDescent="0.2">
      <c r="A10">
        <v>9</v>
      </c>
      <c r="B10" t="s">
        <v>52</v>
      </c>
      <c r="C10">
        <v>2000</v>
      </c>
      <c r="D10">
        <v>1</v>
      </c>
      <c r="E10">
        <v>0</v>
      </c>
      <c r="F10" t="s">
        <v>53</v>
      </c>
      <c r="G10">
        <v>0.80254999999999999</v>
      </c>
      <c r="H10">
        <v>1</v>
      </c>
      <c r="O10">
        <v>-1.0999999999999999E-2</v>
      </c>
      <c r="P10">
        <v>3.6509999999999998</v>
      </c>
      <c r="Q10">
        <v>0</v>
      </c>
      <c r="R10">
        <v>14368.9</v>
      </c>
      <c r="S10">
        <v>-1.875</v>
      </c>
      <c r="T10">
        <v>-0.94</v>
      </c>
      <c r="U10">
        <v>15</v>
      </c>
      <c r="V10">
        <v>51.1</v>
      </c>
      <c r="W10" t="s">
        <v>54</v>
      </c>
      <c r="X10" t="s">
        <v>55</v>
      </c>
      <c r="Y10" t="s">
        <v>59</v>
      </c>
      <c r="Z10">
        <v>0.65700000000000003</v>
      </c>
      <c r="AA10">
        <v>0.84</v>
      </c>
      <c r="AB10">
        <v>257</v>
      </c>
      <c r="AC10">
        <v>10.7</v>
      </c>
      <c r="AE10">
        <v>-58.417299999999997</v>
      </c>
      <c r="AF10">
        <v>-34.611800000000002</v>
      </c>
      <c r="AG10" t="s">
        <v>57</v>
      </c>
      <c r="AH10" t="s">
        <v>58</v>
      </c>
      <c r="AI10">
        <v>10730.61</v>
      </c>
      <c r="AJ10">
        <v>-0.78899900000000001</v>
      </c>
      <c r="AK10">
        <v>396000000000</v>
      </c>
      <c r="AL10">
        <v>23.894729999999999</v>
      </c>
      <c r="AN10">
        <v>-3.1599219999999999</v>
      </c>
      <c r="AO10">
        <v>61.7883</v>
      </c>
      <c r="AP10">
        <v>22.622440000000001</v>
      </c>
      <c r="AQ10">
        <v>3.665791</v>
      </c>
      <c r="AR10">
        <v>13.784190000000001</v>
      </c>
      <c r="AS10">
        <v>2.5964580000000002</v>
      </c>
      <c r="AU10">
        <v>1.21E-4</v>
      </c>
      <c r="AW10">
        <v>26.703779999999998</v>
      </c>
      <c r="AX10">
        <v>0.73</v>
      </c>
      <c r="AY10">
        <v>2.6147371764332199</v>
      </c>
      <c r="AZ10" s="1">
        <v>0.32850000262260398</v>
      </c>
      <c r="BA10" s="1">
        <v>0.139499992132187</v>
      </c>
      <c r="BB10" s="1">
        <v>0.46799999475479098</v>
      </c>
      <c r="BC10" s="1">
        <v>2.5639145000000001</v>
      </c>
      <c r="BD10" s="2">
        <v>20.861717770986999</v>
      </c>
      <c r="BE10" s="2">
        <f t="shared" si="0"/>
        <v>1.1491770801989993</v>
      </c>
      <c r="BF10" s="2">
        <f t="shared" si="1"/>
        <v>5.8296751201433361</v>
      </c>
      <c r="BG10" s="3">
        <v>41842</v>
      </c>
      <c r="BH10" s="3">
        <v>1729</v>
      </c>
      <c r="BI10">
        <v>3.9682357531385555</v>
      </c>
      <c r="BJ10" s="3">
        <v>22113</v>
      </c>
      <c r="BK10">
        <v>725</v>
      </c>
      <c r="BL10">
        <v>3.1745336719502584</v>
      </c>
      <c r="BM10" s="3">
        <v>9517.2862000000005</v>
      </c>
      <c r="BN10">
        <v>12740.1271</v>
      </c>
      <c r="BO10">
        <v>57.239926887640621</v>
      </c>
      <c r="BP10">
        <v>50883664312.615799</v>
      </c>
      <c r="BQ10">
        <v>3715037717.0896988</v>
      </c>
      <c r="BR10">
        <v>6.8042601361996828</v>
      </c>
      <c r="BS10">
        <v>6.0979800000000001E-2</v>
      </c>
      <c r="BT10">
        <v>2.5802420000000001</v>
      </c>
      <c r="BU10">
        <v>-1.8749363673178401</v>
      </c>
    </row>
    <row r="11" spans="1:73" x14ac:dyDescent="0.2">
      <c r="A11">
        <v>10</v>
      </c>
      <c r="B11" t="s">
        <v>52</v>
      </c>
      <c r="C11">
        <v>2001</v>
      </c>
      <c r="D11">
        <v>1</v>
      </c>
      <c r="E11">
        <v>0</v>
      </c>
      <c r="F11" t="s">
        <v>53</v>
      </c>
      <c r="G11">
        <v>0.80254999999999999</v>
      </c>
      <c r="H11">
        <v>1</v>
      </c>
      <c r="O11">
        <v>-1.0999999999999999E-2</v>
      </c>
      <c r="P11">
        <v>3.7530000000000001</v>
      </c>
      <c r="Q11">
        <v>1</v>
      </c>
      <c r="R11">
        <v>13652</v>
      </c>
      <c r="S11">
        <v>-5.4470000000000001</v>
      </c>
      <c r="T11">
        <v>-1.06</v>
      </c>
      <c r="U11">
        <v>17.32</v>
      </c>
      <c r="V11">
        <v>53.3</v>
      </c>
      <c r="W11" t="s">
        <v>54</v>
      </c>
      <c r="X11" t="s">
        <v>55</v>
      </c>
      <c r="Y11" t="s">
        <v>59</v>
      </c>
      <c r="Z11">
        <v>0.66900000000000004</v>
      </c>
      <c r="AA11">
        <v>0.83899999999999997</v>
      </c>
      <c r="AB11">
        <v>257</v>
      </c>
      <c r="AC11">
        <v>10.7</v>
      </c>
      <c r="AE11">
        <v>-58.417299999999997</v>
      </c>
      <c r="AF11">
        <v>-34.611800000000002</v>
      </c>
      <c r="AG11" t="s">
        <v>57</v>
      </c>
      <c r="AH11" t="s">
        <v>58</v>
      </c>
      <c r="AI11">
        <v>10146.11</v>
      </c>
      <c r="AJ11">
        <v>-4.4088399999999996</v>
      </c>
      <c r="AK11">
        <v>378000000000</v>
      </c>
      <c r="AL11">
        <v>20.833570000000002</v>
      </c>
      <c r="AN11">
        <v>-1.4069480000000001</v>
      </c>
      <c r="AO11">
        <v>61.237169999999999</v>
      </c>
      <c r="AP11">
        <v>21.852250000000002</v>
      </c>
      <c r="AQ11">
        <v>0.80616410000000005</v>
      </c>
      <c r="AR11">
        <v>14.156269999999999</v>
      </c>
      <c r="AS11">
        <v>3.6198410000000001</v>
      </c>
      <c r="AU11">
        <v>1.21E-4</v>
      </c>
      <c r="AW11">
        <v>26.6587</v>
      </c>
      <c r="AX11">
        <v>0.11999990000000001</v>
      </c>
      <c r="AY11">
        <v>2.6147371764332199</v>
      </c>
      <c r="AZ11" s="1">
        <v>0.37349998950958302</v>
      </c>
      <c r="BA11" s="1">
        <v>0.33850002288818398</v>
      </c>
      <c r="BB11" s="1">
        <v>0.712000012397766</v>
      </c>
      <c r="BC11" s="1">
        <v>2.8241345999999998</v>
      </c>
      <c r="BD11" s="2">
        <v>20.161819299356001</v>
      </c>
      <c r="BE11" s="2">
        <f t="shared" si="0"/>
        <v>0.69989847163099839</v>
      </c>
      <c r="BF11" s="2">
        <f t="shared" si="1"/>
        <v>3.3549417134017969</v>
      </c>
      <c r="BG11" s="3">
        <v>24703</v>
      </c>
      <c r="BH11" s="3">
        <v>17139</v>
      </c>
      <c r="BI11">
        <v>40.96123512260408</v>
      </c>
      <c r="BJ11" s="3">
        <v>15831</v>
      </c>
      <c r="BK11">
        <v>6282</v>
      </c>
      <c r="BL11">
        <v>28.40862840862841</v>
      </c>
      <c r="BM11" s="3">
        <v>2005.2601999999999</v>
      </c>
      <c r="BN11">
        <v>7512.0260000000007</v>
      </c>
      <c r="BO11">
        <v>78.93033625488745</v>
      </c>
      <c r="BP11">
        <v>42914748082.916603</v>
      </c>
      <c r="BQ11">
        <v>7968916229.6991959</v>
      </c>
      <c r="BR11">
        <v>15.661050235573205</v>
      </c>
      <c r="BS11">
        <v>0.37208269999999999</v>
      </c>
      <c r="BT11">
        <v>3.5721120000000002</v>
      </c>
      <c r="BU11">
        <v>-5.4470481726168698</v>
      </c>
    </row>
    <row r="12" spans="1:73" x14ac:dyDescent="0.2">
      <c r="A12">
        <v>11</v>
      </c>
      <c r="B12" t="s">
        <v>52</v>
      </c>
      <c r="C12">
        <v>2002</v>
      </c>
      <c r="D12">
        <v>1</v>
      </c>
      <c r="E12">
        <v>0</v>
      </c>
      <c r="F12" t="s">
        <v>53</v>
      </c>
      <c r="G12">
        <v>0.80254999999999999</v>
      </c>
      <c r="H12">
        <v>0</v>
      </c>
      <c r="O12">
        <v>-1.0999999999999999E-2</v>
      </c>
      <c r="P12">
        <v>4.2080000000000002</v>
      </c>
      <c r="Q12">
        <v>0</v>
      </c>
      <c r="R12">
        <v>12094.8</v>
      </c>
      <c r="S12">
        <v>-11.855</v>
      </c>
      <c r="T12">
        <v>25869</v>
      </c>
      <c r="U12">
        <v>19.59</v>
      </c>
      <c r="V12">
        <v>53.8</v>
      </c>
      <c r="W12" t="s">
        <v>54</v>
      </c>
      <c r="X12" t="s">
        <v>55</v>
      </c>
      <c r="Y12" t="s">
        <v>59</v>
      </c>
      <c r="Z12">
        <v>0.66300000000000003</v>
      </c>
      <c r="AA12">
        <v>0.83499999999999996</v>
      </c>
      <c r="AB12">
        <v>257</v>
      </c>
      <c r="AC12">
        <v>10.7</v>
      </c>
      <c r="AE12">
        <v>-58.417299999999997</v>
      </c>
      <c r="AF12">
        <v>-34.611800000000002</v>
      </c>
      <c r="AG12" t="s">
        <v>57</v>
      </c>
      <c r="AH12" t="s">
        <v>58</v>
      </c>
      <c r="AI12">
        <v>8943.3080000000009</v>
      </c>
      <c r="AJ12">
        <v>-10.89448</v>
      </c>
      <c r="AK12">
        <v>337000000000</v>
      </c>
      <c r="AL12">
        <v>15.331860000000001</v>
      </c>
      <c r="AN12">
        <v>8.9707849999999993</v>
      </c>
      <c r="AO12">
        <v>60.736980000000003</v>
      </c>
      <c r="AP12">
        <v>41.752719999999997</v>
      </c>
      <c r="AQ12">
        <v>2.1989580000000002</v>
      </c>
      <c r="AR12">
        <v>12.235250000000001</v>
      </c>
      <c r="AS12">
        <v>6.4856449999999999</v>
      </c>
      <c r="AT12">
        <v>10.1608</v>
      </c>
      <c r="AU12">
        <v>1.21E-4</v>
      </c>
      <c r="AV12">
        <v>10.1608</v>
      </c>
      <c r="AW12">
        <v>26.54335</v>
      </c>
      <c r="AX12">
        <v>25870.06</v>
      </c>
      <c r="AY12">
        <v>2.6147371764332199</v>
      </c>
      <c r="AZ12" s="1">
        <v>0.37349998950958302</v>
      </c>
      <c r="BA12" s="1">
        <v>0.33850002288818398</v>
      </c>
      <c r="BB12" s="1">
        <v>0.712000012397766</v>
      </c>
      <c r="BC12" s="1">
        <v>2.8241345999999998</v>
      </c>
      <c r="BD12" s="2">
        <v>38.589786744175001</v>
      </c>
      <c r="BE12" s="2">
        <f t="shared" si="0"/>
        <v>18.427967444819</v>
      </c>
      <c r="BF12" s="2">
        <f t="shared" si="1"/>
        <v>91.400320433422479</v>
      </c>
      <c r="BG12" s="3">
        <v>72710</v>
      </c>
      <c r="BH12" s="3">
        <v>48007</v>
      </c>
      <c r="BI12">
        <v>194.33672023640852</v>
      </c>
      <c r="BJ12" s="3">
        <v>30833</v>
      </c>
      <c r="BK12">
        <v>15002</v>
      </c>
      <c r="BL12">
        <v>94.76343882256333</v>
      </c>
      <c r="BM12" s="3">
        <v>2776.0410999999999</v>
      </c>
      <c r="BN12">
        <v>770.78089999999997</v>
      </c>
      <c r="BO12">
        <v>38.437949349416101</v>
      </c>
      <c r="BP12">
        <v>27273361805.660198</v>
      </c>
      <c r="BQ12">
        <v>15641386277.256405</v>
      </c>
      <c r="BR12">
        <v>36.447577991219497</v>
      </c>
      <c r="BS12">
        <v>1.9210259999999999</v>
      </c>
      <c r="BT12">
        <v>6.4077339999999996</v>
      </c>
      <c r="BU12">
        <v>-11.8547817184023</v>
      </c>
    </row>
    <row r="13" spans="1:73" x14ac:dyDescent="0.2">
      <c r="A13">
        <v>12</v>
      </c>
      <c r="B13" t="s">
        <v>52</v>
      </c>
      <c r="C13">
        <v>2003</v>
      </c>
      <c r="D13">
        <v>1</v>
      </c>
      <c r="E13">
        <v>1</v>
      </c>
      <c r="F13" t="s">
        <v>53</v>
      </c>
      <c r="G13">
        <v>0.79025000000000001</v>
      </c>
      <c r="H13">
        <v>0</v>
      </c>
      <c r="I13">
        <v>0.214</v>
      </c>
      <c r="J13">
        <v>0.85099999999999998</v>
      </c>
      <c r="K13">
        <v>0.47399999999999998</v>
      </c>
      <c r="L13">
        <v>1.8919999999999999</v>
      </c>
      <c r="M13">
        <v>0.30199999999999999</v>
      </c>
      <c r="N13">
        <v>0.86299999999999999</v>
      </c>
      <c r="O13">
        <v>0.38400000000000001</v>
      </c>
      <c r="P13">
        <v>3.629</v>
      </c>
      <c r="Q13">
        <v>1</v>
      </c>
      <c r="R13">
        <v>13088.6</v>
      </c>
      <c r="S13">
        <v>7.6769999999999996</v>
      </c>
      <c r="T13">
        <v>13443</v>
      </c>
      <c r="U13">
        <v>15.36</v>
      </c>
      <c r="V13">
        <v>50.9</v>
      </c>
      <c r="W13" t="s">
        <v>54</v>
      </c>
      <c r="X13" t="s">
        <v>55</v>
      </c>
      <c r="Y13" t="s">
        <v>59</v>
      </c>
      <c r="Z13">
        <v>0.64800000000000002</v>
      </c>
      <c r="AA13">
        <v>0.81299999999999994</v>
      </c>
      <c r="AB13">
        <v>257</v>
      </c>
      <c r="AC13">
        <v>10.7</v>
      </c>
      <c r="AE13">
        <v>-58.417299999999997</v>
      </c>
      <c r="AF13">
        <v>-34.611800000000002</v>
      </c>
      <c r="AG13" t="s">
        <v>57</v>
      </c>
      <c r="AH13" t="s">
        <v>58</v>
      </c>
      <c r="AI13">
        <v>9629.8439999999991</v>
      </c>
      <c r="AJ13">
        <v>8.8370409999999993</v>
      </c>
      <c r="AK13">
        <v>367000000000</v>
      </c>
      <c r="AL13">
        <v>10.76271</v>
      </c>
      <c r="AN13">
        <v>6.3799070000000002</v>
      </c>
      <c r="AO13">
        <v>60.250889999999998</v>
      </c>
      <c r="AP13">
        <v>40.644750000000002</v>
      </c>
      <c r="AQ13">
        <v>1.2948109999999999</v>
      </c>
      <c r="AR13">
        <v>11.43806</v>
      </c>
      <c r="AS13">
        <v>19.731529999999999</v>
      </c>
      <c r="AT13">
        <v>9.5062139999999999</v>
      </c>
      <c r="AU13">
        <v>0.147456</v>
      </c>
      <c r="AV13">
        <v>9.5062139999999999</v>
      </c>
      <c r="AW13">
        <v>26.628029999999999</v>
      </c>
      <c r="AX13">
        <v>12426</v>
      </c>
      <c r="AY13">
        <v>2.92837859298078</v>
      </c>
      <c r="AZ13" s="1">
        <v>0.44599997997283902</v>
      </c>
      <c r="BA13" s="1">
        <v>0.12600000202655801</v>
      </c>
      <c r="BB13" s="1">
        <v>0.57199996709823597</v>
      </c>
      <c r="BC13" s="1">
        <v>3.4965316999999998</v>
      </c>
      <c r="BD13" s="2">
        <v>37.547600479853003</v>
      </c>
      <c r="BE13" s="2">
        <f t="shared" si="0"/>
        <v>1.0421862643219981</v>
      </c>
      <c r="BF13" s="2">
        <f t="shared" si="1"/>
        <v>2.7006789937218625</v>
      </c>
      <c r="BG13" s="3">
        <v>101907</v>
      </c>
      <c r="BH13" s="3">
        <v>29197</v>
      </c>
      <c r="BI13">
        <v>40.155411910328702</v>
      </c>
      <c r="BJ13" s="3">
        <v>48952</v>
      </c>
      <c r="BK13">
        <v>18119</v>
      </c>
      <c r="BL13">
        <v>58.764959621185092</v>
      </c>
      <c r="BM13" s="3">
        <v>878.23009999999999</v>
      </c>
      <c r="BN13">
        <v>1897.8109999999999</v>
      </c>
      <c r="BO13">
        <v>68.363937407122691</v>
      </c>
      <c r="BP13">
        <v>37682562546.6549</v>
      </c>
      <c r="BQ13">
        <v>10409200740.994701</v>
      </c>
      <c r="BR13">
        <v>38.166181401349718</v>
      </c>
      <c r="BS13">
        <v>0.79719070000000003</v>
      </c>
      <c r="BT13">
        <v>19.531320000000001</v>
      </c>
      <c r="BU13">
        <v>7.6765340475281896</v>
      </c>
    </row>
    <row r="14" spans="1:73" x14ac:dyDescent="0.2">
      <c r="A14">
        <v>13</v>
      </c>
      <c r="B14" t="s">
        <v>52</v>
      </c>
      <c r="C14">
        <v>2004</v>
      </c>
      <c r="D14">
        <v>1</v>
      </c>
      <c r="E14">
        <v>0</v>
      </c>
      <c r="F14" t="s">
        <v>53</v>
      </c>
      <c r="G14">
        <v>0.79025000000000001</v>
      </c>
      <c r="H14">
        <v>0</v>
      </c>
      <c r="I14">
        <v>0.214</v>
      </c>
      <c r="J14">
        <v>0.85099999999999998</v>
      </c>
      <c r="K14">
        <v>0.47399999999999998</v>
      </c>
      <c r="L14">
        <v>1.8919999999999999</v>
      </c>
      <c r="M14">
        <v>0.30199999999999999</v>
      </c>
      <c r="N14">
        <v>0.86299999999999999</v>
      </c>
      <c r="O14">
        <v>0.38400000000000001</v>
      </c>
      <c r="P14">
        <v>3.6309999999999998</v>
      </c>
      <c r="Q14">
        <v>0</v>
      </c>
      <c r="R14">
        <v>14183.2</v>
      </c>
      <c r="S14">
        <v>7.8849999999999998</v>
      </c>
      <c r="T14">
        <v>4416</v>
      </c>
      <c r="U14">
        <v>13.52</v>
      </c>
      <c r="V14">
        <v>48.4</v>
      </c>
      <c r="W14" t="s">
        <v>54</v>
      </c>
      <c r="X14" t="s">
        <v>55</v>
      </c>
      <c r="Y14" t="s">
        <v>59</v>
      </c>
      <c r="Z14">
        <v>0.64900000000000002</v>
      </c>
      <c r="AA14">
        <v>0.81200000000000006</v>
      </c>
      <c r="AB14">
        <v>257</v>
      </c>
      <c r="AC14">
        <v>10.7</v>
      </c>
      <c r="AE14">
        <v>-58.417299999999997</v>
      </c>
      <c r="AF14">
        <v>-34.611800000000002</v>
      </c>
      <c r="AG14" t="s">
        <v>57</v>
      </c>
      <c r="AH14" t="s">
        <v>58</v>
      </c>
      <c r="AI14">
        <v>10389.15</v>
      </c>
      <c r="AJ14">
        <v>9.0295729999999992</v>
      </c>
      <c r="AK14">
        <v>400000000000</v>
      </c>
      <c r="AL14">
        <v>9.682518</v>
      </c>
      <c r="AN14">
        <v>1.950583</v>
      </c>
      <c r="AO14">
        <v>59.730969999999999</v>
      </c>
      <c r="AP14">
        <v>40.69265</v>
      </c>
      <c r="AQ14">
        <v>2.5050180000000002</v>
      </c>
      <c r="AR14">
        <v>11.11464</v>
      </c>
      <c r="AS14">
        <v>0.1925325</v>
      </c>
      <c r="AT14">
        <v>8.392989</v>
      </c>
      <c r="AU14">
        <v>0.147456</v>
      </c>
      <c r="AV14">
        <v>8.392989</v>
      </c>
      <c r="AW14">
        <v>26.714479999999998</v>
      </c>
      <c r="AX14">
        <v>9027</v>
      </c>
      <c r="AY14">
        <v>2.92837859298078</v>
      </c>
      <c r="AZ14" s="1">
        <v>0.44599997997283902</v>
      </c>
      <c r="BA14" s="1">
        <v>0.12600000202655801</v>
      </c>
      <c r="BB14" s="1">
        <v>0.57199996709823597</v>
      </c>
      <c r="BC14" s="1">
        <v>3.4965316999999998</v>
      </c>
      <c r="BD14" s="2">
        <v>40.692646122882998</v>
      </c>
      <c r="BE14" s="2">
        <f t="shared" si="0"/>
        <v>3.1450456430299951</v>
      </c>
      <c r="BF14" s="2">
        <f t="shared" si="1"/>
        <v>8.376156140037601</v>
      </c>
      <c r="BG14" s="3">
        <v>128096</v>
      </c>
      <c r="BH14" s="3">
        <v>26189</v>
      </c>
      <c r="BI14">
        <v>25.698921565741312</v>
      </c>
      <c r="BJ14" s="3">
        <v>64043</v>
      </c>
      <c r="BK14">
        <v>15091</v>
      </c>
      <c r="BL14">
        <v>30.828158195783626</v>
      </c>
      <c r="BM14" s="3">
        <v>3448.7184000000002</v>
      </c>
      <c r="BN14">
        <v>2570.4883</v>
      </c>
      <c r="BO14">
        <v>292.68961517032949</v>
      </c>
      <c r="BP14">
        <v>50654861461.280296</v>
      </c>
      <c r="BQ14">
        <v>12972298914.625397</v>
      </c>
      <c r="BR14">
        <v>34.425203696177377</v>
      </c>
      <c r="BS14">
        <v>0.3234205</v>
      </c>
      <c r="BT14">
        <v>0.20840310000000001</v>
      </c>
      <c r="BU14">
        <v>7.88493750549884</v>
      </c>
    </row>
    <row r="15" spans="1:73" x14ac:dyDescent="0.2">
      <c r="A15">
        <v>14</v>
      </c>
      <c r="B15" t="s">
        <v>52</v>
      </c>
      <c r="C15">
        <v>2005</v>
      </c>
      <c r="D15">
        <v>1</v>
      </c>
      <c r="E15">
        <v>0</v>
      </c>
      <c r="F15" t="s">
        <v>53</v>
      </c>
      <c r="G15">
        <v>0.79025000000000001</v>
      </c>
      <c r="H15">
        <v>0</v>
      </c>
      <c r="O15">
        <v>0.79600000000000004</v>
      </c>
      <c r="P15">
        <v>4.0229999999999997</v>
      </c>
      <c r="Q15">
        <v>1</v>
      </c>
      <c r="R15">
        <v>15344.2</v>
      </c>
      <c r="S15">
        <v>7.7290000000000001</v>
      </c>
      <c r="T15">
        <v>9642</v>
      </c>
      <c r="U15">
        <v>11.51</v>
      </c>
      <c r="V15">
        <v>47.7</v>
      </c>
      <c r="W15" t="s">
        <v>54</v>
      </c>
      <c r="X15" t="s">
        <v>55</v>
      </c>
      <c r="Y15" t="s">
        <v>59</v>
      </c>
      <c r="Z15">
        <v>0.64100000000000001</v>
      </c>
      <c r="AA15">
        <v>0.80800000000000005</v>
      </c>
      <c r="AB15">
        <v>257</v>
      </c>
      <c r="AC15">
        <v>10.7</v>
      </c>
      <c r="AE15">
        <v>-58.417299999999997</v>
      </c>
      <c r="AF15">
        <v>-34.611800000000002</v>
      </c>
      <c r="AG15" t="s">
        <v>57</v>
      </c>
      <c r="AH15" t="s">
        <v>58</v>
      </c>
      <c r="AI15">
        <v>11192.18</v>
      </c>
      <c r="AJ15">
        <v>8.8516600000000007</v>
      </c>
      <c r="AK15">
        <v>435000000000</v>
      </c>
      <c r="AL15">
        <v>10.65349</v>
      </c>
      <c r="AN15">
        <v>2.6536309999999999</v>
      </c>
      <c r="AO15">
        <v>59.163150000000002</v>
      </c>
      <c r="AP15">
        <v>40.551270000000002</v>
      </c>
      <c r="AQ15">
        <v>2.6493540000000002</v>
      </c>
      <c r="AR15">
        <v>12.141859999999999</v>
      </c>
      <c r="AS15">
        <v>0.17791370000000001</v>
      </c>
      <c r="AT15">
        <v>9.173883</v>
      </c>
      <c r="AU15">
        <v>0.63361599999999996</v>
      </c>
      <c r="AV15">
        <v>9.173883</v>
      </c>
      <c r="AW15">
        <v>26.799289999999999</v>
      </c>
      <c r="AX15">
        <v>5226</v>
      </c>
      <c r="AY15">
        <v>3.2555185008734302</v>
      </c>
      <c r="AZ15" s="1">
        <v>0.34200000762939498</v>
      </c>
      <c r="BA15" s="1">
        <v>0.31049999594688399</v>
      </c>
      <c r="BB15" s="1">
        <v>0.65250003337860096</v>
      </c>
      <c r="BC15" s="1">
        <v>2.7473483000000001</v>
      </c>
      <c r="BD15" s="2">
        <v>40.551270979163</v>
      </c>
      <c r="BE15" s="2">
        <f t="shared" si="0"/>
        <v>0.14137514371999771</v>
      </c>
      <c r="BF15" s="2">
        <f t="shared" si="1"/>
        <v>0.34742184937562265</v>
      </c>
      <c r="BG15" s="3">
        <v>156227</v>
      </c>
      <c r="BH15" s="3">
        <v>28131</v>
      </c>
      <c r="BI15">
        <v>21.960873095178616</v>
      </c>
      <c r="BJ15" s="3">
        <v>81613</v>
      </c>
      <c r="BK15">
        <v>17570</v>
      </c>
      <c r="BL15">
        <v>27.434692316100119</v>
      </c>
      <c r="BM15" s="3">
        <v>3954.2035999999998</v>
      </c>
      <c r="BN15">
        <v>505.48519999999962</v>
      </c>
      <c r="BO15">
        <v>14.657189754895603</v>
      </c>
      <c r="BP15">
        <v>58672701569.697899</v>
      </c>
      <c r="BQ15">
        <v>8017840108.4176025</v>
      </c>
      <c r="BR15">
        <v>15.828372395305633</v>
      </c>
      <c r="BS15">
        <v>1.0272250000000001</v>
      </c>
      <c r="BT15">
        <v>0.15544839999999999</v>
      </c>
      <c r="BU15">
        <v>7.7294889964049798</v>
      </c>
    </row>
    <row r="16" spans="1:73" x14ac:dyDescent="0.2">
      <c r="A16">
        <v>15</v>
      </c>
      <c r="B16" t="s">
        <v>52</v>
      </c>
      <c r="C16">
        <v>2006</v>
      </c>
      <c r="D16">
        <v>1</v>
      </c>
      <c r="E16">
        <v>0</v>
      </c>
      <c r="F16" t="s">
        <v>53</v>
      </c>
      <c r="G16">
        <v>0.79025000000000001</v>
      </c>
      <c r="H16">
        <v>0</v>
      </c>
      <c r="O16">
        <v>0.79600000000000004</v>
      </c>
      <c r="P16">
        <v>3.403</v>
      </c>
      <c r="Q16">
        <v>0</v>
      </c>
      <c r="R16">
        <v>16490.5</v>
      </c>
      <c r="S16">
        <v>6.9560000000000004</v>
      </c>
      <c r="T16">
        <v>10898</v>
      </c>
      <c r="U16">
        <v>10.08</v>
      </c>
      <c r="V16">
        <v>46.3</v>
      </c>
      <c r="W16" t="s">
        <v>54</v>
      </c>
      <c r="X16" t="s">
        <v>55</v>
      </c>
      <c r="Y16" t="s">
        <v>59</v>
      </c>
      <c r="Z16">
        <v>0.624</v>
      </c>
      <c r="AA16">
        <v>0.78800000000000003</v>
      </c>
      <c r="AB16">
        <v>257</v>
      </c>
      <c r="AC16">
        <v>10.7</v>
      </c>
      <c r="AE16">
        <v>-58.417299999999997</v>
      </c>
      <c r="AF16">
        <v>-34.611800000000002</v>
      </c>
      <c r="AG16" t="s">
        <v>57</v>
      </c>
      <c r="AH16" t="s">
        <v>58</v>
      </c>
      <c r="AI16">
        <v>11970.66</v>
      </c>
      <c r="AJ16">
        <v>8.0471520000000005</v>
      </c>
      <c r="AK16">
        <v>470000000000</v>
      </c>
      <c r="AL16">
        <v>11.910259999999999</v>
      </c>
      <c r="AN16">
        <v>2.7944960000000001</v>
      </c>
      <c r="AO16">
        <v>58.749580000000002</v>
      </c>
      <c r="AP16">
        <v>40.433480000000003</v>
      </c>
      <c r="AQ16">
        <v>2.381068</v>
      </c>
      <c r="AR16">
        <v>12.42942</v>
      </c>
      <c r="AS16">
        <v>0.80450820000000001</v>
      </c>
      <c r="AT16">
        <v>9.2963339999999999</v>
      </c>
      <c r="AU16">
        <v>0.63361599999999996</v>
      </c>
      <c r="AV16">
        <v>9.2963339999999999</v>
      </c>
      <c r="AW16">
        <v>26.87669</v>
      </c>
      <c r="AX16">
        <v>1256</v>
      </c>
      <c r="AY16">
        <v>3.2555185008734302</v>
      </c>
      <c r="AZ16" s="1">
        <v>0.34200000762939498</v>
      </c>
      <c r="BA16" s="1">
        <v>0.31049999594688399</v>
      </c>
      <c r="BB16" s="1">
        <v>0.65250003337860096</v>
      </c>
      <c r="BC16" s="1">
        <v>2.7473483000000001</v>
      </c>
      <c r="BD16" s="2">
        <v>40.433479864700999</v>
      </c>
      <c r="BE16" s="2">
        <f t="shared" si="0"/>
        <v>0.11779111446200119</v>
      </c>
      <c r="BF16" s="2">
        <f t="shared" si="1"/>
        <v>0.29047453166764459</v>
      </c>
      <c r="BG16" s="3">
        <v>193942</v>
      </c>
      <c r="BH16" s="3">
        <v>37715</v>
      </c>
      <c r="BI16">
        <v>24.141153577806651</v>
      </c>
      <c r="BJ16" s="3">
        <v>97969</v>
      </c>
      <c r="BK16">
        <v>16356</v>
      </c>
      <c r="BL16">
        <v>20.040924852658279</v>
      </c>
      <c r="BM16" s="3">
        <v>3098.627</v>
      </c>
      <c r="BN16">
        <v>855.57659999999987</v>
      </c>
      <c r="BO16">
        <v>21.637140788602789</v>
      </c>
      <c r="BP16">
        <v>67164293724.503998</v>
      </c>
      <c r="BQ16">
        <v>8491592154.8060989</v>
      </c>
      <c r="BR16">
        <v>14.472816024533744</v>
      </c>
      <c r="BS16">
        <v>0.2875547</v>
      </c>
      <c r="BT16">
        <v>0.77395530000000001</v>
      </c>
      <c r="BU16">
        <v>6.95553357619964</v>
      </c>
    </row>
    <row r="17" spans="1:73" x14ac:dyDescent="0.2">
      <c r="A17">
        <v>16</v>
      </c>
      <c r="B17" t="s">
        <v>52</v>
      </c>
      <c r="C17">
        <v>2007</v>
      </c>
      <c r="D17">
        <v>1</v>
      </c>
      <c r="E17">
        <v>1</v>
      </c>
      <c r="F17" t="s">
        <v>53</v>
      </c>
      <c r="G17">
        <v>0.79025000000000001</v>
      </c>
      <c r="H17">
        <v>0</v>
      </c>
      <c r="I17">
        <v>0.16</v>
      </c>
      <c r="J17">
        <v>0.40500000000000003</v>
      </c>
      <c r="K17">
        <v>0.88900000000000001</v>
      </c>
      <c r="L17">
        <v>1.4139999999999999</v>
      </c>
      <c r="M17">
        <v>0.19400000000000001</v>
      </c>
      <c r="N17">
        <v>0.40699999999999997</v>
      </c>
      <c r="O17">
        <v>0.79600000000000004</v>
      </c>
      <c r="P17">
        <v>3.4790000000000001</v>
      </c>
      <c r="Q17">
        <v>1</v>
      </c>
      <c r="R17">
        <v>17891.900000000001</v>
      </c>
      <c r="S17">
        <v>7.9240000000000004</v>
      </c>
      <c r="T17">
        <v>8.83</v>
      </c>
      <c r="U17">
        <v>8.4700000000000006</v>
      </c>
      <c r="V17">
        <v>46.2</v>
      </c>
      <c r="W17" t="s">
        <v>54</v>
      </c>
      <c r="X17" t="s">
        <v>55</v>
      </c>
      <c r="Y17" t="s">
        <v>59</v>
      </c>
      <c r="Z17">
        <v>0.621</v>
      </c>
      <c r="AA17">
        <v>0.79</v>
      </c>
      <c r="AB17">
        <v>257</v>
      </c>
      <c r="AC17">
        <v>10.7</v>
      </c>
      <c r="AE17">
        <v>-58.417299999999997</v>
      </c>
      <c r="AF17">
        <v>-34.611800000000002</v>
      </c>
      <c r="AG17" t="s">
        <v>57</v>
      </c>
      <c r="AH17" t="s">
        <v>58</v>
      </c>
      <c r="AI17">
        <v>12919.24</v>
      </c>
      <c r="AJ17">
        <v>9.0076509999999992</v>
      </c>
      <c r="AK17">
        <v>513000000000</v>
      </c>
      <c r="AL17">
        <v>13.09854</v>
      </c>
      <c r="AN17">
        <v>2.1036160000000002</v>
      </c>
      <c r="AO17">
        <v>58.228380000000001</v>
      </c>
      <c r="AP17">
        <v>40.945169999999997</v>
      </c>
      <c r="AQ17">
        <v>2.2512940000000001</v>
      </c>
      <c r="AR17">
        <v>12.989319999999999</v>
      </c>
      <c r="AS17">
        <v>0.96049980000000001</v>
      </c>
      <c r="AT17">
        <v>2.1781549999999998</v>
      </c>
      <c r="AU17">
        <v>0.63361599999999996</v>
      </c>
      <c r="AV17">
        <v>2.1781549999999998</v>
      </c>
      <c r="AW17">
        <v>26.96294</v>
      </c>
      <c r="AX17">
        <v>10889.17</v>
      </c>
      <c r="AY17">
        <v>3.2555185008734302</v>
      </c>
      <c r="AZ17" s="1">
        <v>0.32499998807907099</v>
      </c>
      <c r="BA17" s="1">
        <v>0.15600000321865101</v>
      </c>
      <c r="BB17" s="1">
        <v>0.481000006198883</v>
      </c>
      <c r="BC17" s="1">
        <v>2.9182613000000002</v>
      </c>
      <c r="BD17" s="2">
        <v>40.945170615130998</v>
      </c>
      <c r="BE17" s="2">
        <f t="shared" si="0"/>
        <v>0.51169075042999879</v>
      </c>
      <c r="BF17" s="2">
        <f t="shared" si="1"/>
        <v>1.2655125211637104</v>
      </c>
      <c r="BG17" s="3">
        <v>233302</v>
      </c>
      <c r="BH17" s="3">
        <v>39360</v>
      </c>
      <c r="BI17">
        <v>20.294727289602047</v>
      </c>
      <c r="BJ17" s="3">
        <v>123142</v>
      </c>
      <c r="BK17">
        <v>25173</v>
      </c>
      <c r="BL17">
        <v>25.694862660637547</v>
      </c>
      <c r="BM17" s="3">
        <v>4968.9247999999998</v>
      </c>
      <c r="BN17">
        <v>1870.2977999999998</v>
      </c>
      <c r="BO17">
        <v>60.358920257262319</v>
      </c>
      <c r="BP17">
        <v>80901540191.890106</v>
      </c>
      <c r="BQ17">
        <v>13737246467.386108</v>
      </c>
      <c r="BR17">
        <v>20.453198724509562</v>
      </c>
      <c r="BS17">
        <v>0.55990790000000001</v>
      </c>
      <c r="BT17">
        <v>0.96867749999999997</v>
      </c>
      <c r="BU17">
        <v>7.9242108884188003</v>
      </c>
    </row>
    <row r="18" spans="1:73" x14ac:dyDescent="0.2">
      <c r="A18">
        <v>17</v>
      </c>
      <c r="B18" t="s">
        <v>52</v>
      </c>
      <c r="C18">
        <v>2008</v>
      </c>
      <c r="D18">
        <v>1</v>
      </c>
      <c r="E18">
        <v>0</v>
      </c>
      <c r="F18" t="s">
        <v>53</v>
      </c>
      <c r="G18">
        <v>0.79025000000000001</v>
      </c>
      <c r="H18">
        <v>0</v>
      </c>
      <c r="I18">
        <v>0.16</v>
      </c>
      <c r="J18">
        <v>0.40500000000000003</v>
      </c>
      <c r="K18">
        <v>0.88900000000000001</v>
      </c>
      <c r="L18">
        <v>1.4139999999999999</v>
      </c>
      <c r="M18">
        <v>0.19400000000000001</v>
      </c>
      <c r="N18">
        <v>0.40699999999999997</v>
      </c>
      <c r="O18">
        <v>0.79600000000000004</v>
      </c>
      <c r="P18">
        <v>3.5960000000000001</v>
      </c>
      <c r="Q18">
        <v>0</v>
      </c>
      <c r="R18">
        <v>18520.3</v>
      </c>
      <c r="S18">
        <v>3.0289999999999999</v>
      </c>
      <c r="T18">
        <v>8585</v>
      </c>
      <c r="U18">
        <v>7.84</v>
      </c>
      <c r="V18">
        <v>44.9</v>
      </c>
      <c r="W18" t="s">
        <v>54</v>
      </c>
      <c r="X18" t="s">
        <v>55</v>
      </c>
      <c r="Y18" t="s">
        <v>59</v>
      </c>
      <c r="Z18">
        <v>0.60599999999999998</v>
      </c>
      <c r="AA18">
        <v>0.78400000000000003</v>
      </c>
      <c r="AB18">
        <v>257</v>
      </c>
      <c r="AC18">
        <v>10.7</v>
      </c>
      <c r="AE18">
        <v>-58.417299999999997</v>
      </c>
      <c r="AF18">
        <v>-34.611800000000002</v>
      </c>
      <c r="AG18" t="s">
        <v>57</v>
      </c>
      <c r="AH18" t="s">
        <v>58</v>
      </c>
      <c r="AI18">
        <v>13310.62</v>
      </c>
      <c r="AJ18">
        <v>4.0572330000000001</v>
      </c>
      <c r="AK18">
        <v>534000000000</v>
      </c>
      <c r="AL18">
        <v>12.31395</v>
      </c>
      <c r="AN18">
        <v>1.499401</v>
      </c>
      <c r="AO18">
        <v>57.669550000000001</v>
      </c>
      <c r="AP18">
        <v>40.402670000000001</v>
      </c>
      <c r="AQ18">
        <v>2.6899009999999999</v>
      </c>
      <c r="AR18">
        <v>13.633509999999999</v>
      </c>
      <c r="AS18">
        <v>4.950418</v>
      </c>
      <c r="AT18">
        <v>9.0577719999999999</v>
      </c>
      <c r="AU18">
        <v>0.63361599999999996</v>
      </c>
      <c r="AV18">
        <v>9.0577719999999999</v>
      </c>
      <c r="AW18">
        <v>27.00271</v>
      </c>
      <c r="AX18">
        <v>8576.17</v>
      </c>
      <c r="AY18">
        <v>3.2555185008734302</v>
      </c>
      <c r="AZ18" s="1">
        <v>0.32499998807907099</v>
      </c>
      <c r="BA18" s="1">
        <v>0.15600000321865101</v>
      </c>
      <c r="BB18" s="1">
        <v>0.481000006198883</v>
      </c>
      <c r="BC18" s="1">
        <v>2.9182613000000002</v>
      </c>
      <c r="BD18" s="2">
        <v>40.402673374278997</v>
      </c>
      <c r="BE18" s="2">
        <f t="shared" si="0"/>
        <v>0.54249724085200057</v>
      </c>
      <c r="BF18" s="2">
        <f t="shared" si="1"/>
        <v>1.3249358415215018</v>
      </c>
      <c r="BG18" s="3">
        <v>261541</v>
      </c>
      <c r="BH18" s="3">
        <v>28239</v>
      </c>
      <c r="BI18">
        <v>12.104053972962083</v>
      </c>
      <c r="BJ18" s="3">
        <v>143955</v>
      </c>
      <c r="BK18">
        <v>20813</v>
      </c>
      <c r="BL18">
        <v>16.901625765376558</v>
      </c>
      <c r="BM18" s="3">
        <v>8334.6185999999998</v>
      </c>
      <c r="BN18">
        <v>3365.6938</v>
      </c>
      <c r="BO18">
        <v>67.734850807160541</v>
      </c>
      <c r="BP18">
        <v>87936280775.266006</v>
      </c>
      <c r="BQ18">
        <v>7034740583.3759003</v>
      </c>
      <c r="BR18">
        <v>8.6954346810829826</v>
      </c>
      <c r="BS18">
        <v>0.64418980000000003</v>
      </c>
      <c r="BT18">
        <v>4.894711</v>
      </c>
      <c r="BU18">
        <v>3.0295006519185099</v>
      </c>
    </row>
    <row r="19" spans="1:73" x14ac:dyDescent="0.2">
      <c r="A19">
        <v>18</v>
      </c>
      <c r="B19" t="s">
        <v>52</v>
      </c>
      <c r="C19">
        <v>2009</v>
      </c>
      <c r="D19">
        <v>1</v>
      </c>
      <c r="E19">
        <v>1</v>
      </c>
      <c r="F19" t="s">
        <v>53</v>
      </c>
      <c r="G19">
        <v>0.79025000000000001</v>
      </c>
      <c r="H19">
        <v>0</v>
      </c>
      <c r="I19">
        <v>0.216</v>
      </c>
      <c r="J19">
        <v>0.66500000000000004</v>
      </c>
      <c r="K19">
        <v>1.032</v>
      </c>
      <c r="L19">
        <v>1.8129999999999999</v>
      </c>
      <c r="M19">
        <v>0.28999999999999998</v>
      </c>
      <c r="N19">
        <v>0.66600000000000004</v>
      </c>
      <c r="O19">
        <v>0.79600000000000004</v>
      </c>
      <c r="P19">
        <v>4.032</v>
      </c>
      <c r="Q19">
        <v>1</v>
      </c>
      <c r="R19">
        <v>17329</v>
      </c>
      <c r="S19">
        <v>-6.8540000000000001</v>
      </c>
      <c r="T19">
        <v>6.27</v>
      </c>
      <c r="U19">
        <v>8.65</v>
      </c>
      <c r="V19">
        <v>43.7</v>
      </c>
      <c r="W19" t="s">
        <v>54</v>
      </c>
      <c r="X19" t="s">
        <v>55</v>
      </c>
      <c r="Y19" t="s">
        <v>59</v>
      </c>
      <c r="Z19">
        <v>0.60199999999999998</v>
      </c>
      <c r="AA19">
        <v>0.77900000000000003</v>
      </c>
      <c r="AB19">
        <v>257</v>
      </c>
      <c r="AC19">
        <v>10.7</v>
      </c>
      <c r="AE19">
        <v>-58.417299999999997</v>
      </c>
      <c r="AF19">
        <v>-34.611800000000002</v>
      </c>
      <c r="AG19" t="s">
        <v>57</v>
      </c>
      <c r="AH19" t="s">
        <v>58</v>
      </c>
      <c r="AI19">
        <v>12398.28</v>
      </c>
      <c r="AJ19">
        <v>-5.9185249999999998</v>
      </c>
      <c r="AK19">
        <v>502000000000</v>
      </c>
      <c r="AL19">
        <v>12.41621</v>
      </c>
      <c r="AN19">
        <v>2.1785670000000001</v>
      </c>
      <c r="AO19">
        <v>57.17998</v>
      </c>
      <c r="AP19">
        <v>34.057130000000001</v>
      </c>
      <c r="AQ19">
        <v>1.206439</v>
      </c>
      <c r="AR19">
        <v>15.9039</v>
      </c>
      <c r="AS19">
        <v>9.975759</v>
      </c>
      <c r="AT19">
        <v>1.8357760000000001</v>
      </c>
      <c r="AU19">
        <v>0.63361599999999996</v>
      </c>
      <c r="AV19">
        <v>1.8357760000000001</v>
      </c>
      <c r="AW19">
        <v>26.941700000000001</v>
      </c>
      <c r="AX19">
        <v>8578.73</v>
      </c>
      <c r="AY19">
        <v>3.2555185008734302</v>
      </c>
      <c r="AZ19" s="1">
        <v>0.57249999046325695</v>
      </c>
      <c r="BA19" s="1">
        <v>0.21899999678134899</v>
      </c>
      <c r="BB19" s="1">
        <v>0.79149997234344505</v>
      </c>
      <c r="BC19" s="1">
        <v>3.0719037</v>
      </c>
      <c r="BD19" s="2">
        <v>34.057126901624997</v>
      </c>
      <c r="BE19" s="2">
        <f t="shared" si="0"/>
        <v>6.3455464726540001</v>
      </c>
      <c r="BF19" s="2">
        <f t="shared" si="1"/>
        <v>15.705758908255014</v>
      </c>
      <c r="BG19" s="3">
        <v>296945</v>
      </c>
      <c r="BH19" s="3">
        <v>35404</v>
      </c>
      <c r="BI19">
        <v>13.536692143870368</v>
      </c>
      <c r="BJ19" s="3">
        <v>163459</v>
      </c>
      <c r="BK19">
        <v>19504</v>
      </c>
      <c r="BL19">
        <v>13.548678406446459</v>
      </c>
      <c r="BM19" s="3">
        <v>3305.6125000000002</v>
      </c>
      <c r="BN19">
        <v>5029.0060999999996</v>
      </c>
      <c r="BO19">
        <v>60.338767031283233</v>
      </c>
      <c r="BP19">
        <v>68086553749.158203</v>
      </c>
      <c r="BQ19">
        <v>19849727026.107803</v>
      </c>
      <c r="BR19">
        <v>22.57285258269755</v>
      </c>
      <c r="BS19">
        <v>2.2703829999999998</v>
      </c>
      <c r="BT19">
        <v>9.8837259999999993</v>
      </c>
      <c r="BU19">
        <v>-6.85422505520184</v>
      </c>
    </row>
    <row r="20" spans="1:73" x14ac:dyDescent="0.2">
      <c r="A20">
        <v>19</v>
      </c>
      <c r="B20" t="s">
        <v>52</v>
      </c>
      <c r="C20">
        <v>2010</v>
      </c>
      <c r="D20">
        <v>1</v>
      </c>
      <c r="E20">
        <v>0</v>
      </c>
      <c r="F20" t="s">
        <v>53</v>
      </c>
      <c r="G20">
        <v>0.79025000000000001</v>
      </c>
      <c r="H20">
        <v>0</v>
      </c>
      <c r="I20">
        <v>0.216</v>
      </c>
      <c r="J20">
        <v>0.66500000000000004</v>
      </c>
      <c r="K20">
        <v>1.032</v>
      </c>
      <c r="L20">
        <v>1.8129999999999999</v>
      </c>
      <c r="M20">
        <v>0.28999999999999998</v>
      </c>
      <c r="N20">
        <v>0.66600000000000004</v>
      </c>
      <c r="O20">
        <v>0.79600000000000004</v>
      </c>
      <c r="P20">
        <v>3.661</v>
      </c>
      <c r="Q20">
        <v>0</v>
      </c>
      <c r="R20">
        <v>18980</v>
      </c>
      <c r="S20">
        <v>9.3000000000000007</v>
      </c>
      <c r="T20">
        <v>10649</v>
      </c>
      <c r="U20">
        <v>7.71</v>
      </c>
      <c r="V20">
        <v>43.6</v>
      </c>
      <c r="W20" t="s">
        <v>54</v>
      </c>
      <c r="X20" t="s">
        <v>55</v>
      </c>
      <c r="Y20" t="s">
        <v>59</v>
      </c>
      <c r="Z20">
        <v>0.59899999999999998</v>
      </c>
      <c r="AA20">
        <v>0.77300000000000002</v>
      </c>
      <c r="AB20">
        <v>257</v>
      </c>
      <c r="AC20">
        <v>10.7</v>
      </c>
      <c r="AE20">
        <v>-58.417299999999997</v>
      </c>
      <c r="AF20">
        <v>-34.611800000000002</v>
      </c>
      <c r="AG20" t="s">
        <v>57</v>
      </c>
      <c r="AH20" t="s">
        <v>58</v>
      </c>
      <c r="AI20">
        <v>13551.34</v>
      </c>
      <c r="AJ20">
        <v>10.125400000000001</v>
      </c>
      <c r="AK20">
        <v>553000000000</v>
      </c>
      <c r="AL20">
        <v>12.690110000000001</v>
      </c>
      <c r="AN20">
        <v>-0.38311869999999998</v>
      </c>
      <c r="AO20">
        <v>56.81597</v>
      </c>
      <c r="AP20">
        <v>34.97101</v>
      </c>
      <c r="AQ20">
        <v>2.6751619999999998</v>
      </c>
      <c r="AR20">
        <v>15.16372</v>
      </c>
      <c r="AS20">
        <v>16.04392</v>
      </c>
      <c r="AT20">
        <v>9.2732209999999995</v>
      </c>
      <c r="AU20">
        <v>0.63361599999999996</v>
      </c>
      <c r="AV20">
        <v>9.2732209999999995</v>
      </c>
      <c r="AW20">
        <v>27.038150000000002</v>
      </c>
      <c r="AX20">
        <v>10642.73</v>
      </c>
      <c r="AY20">
        <v>3.2555185008734302</v>
      </c>
      <c r="AZ20" s="1">
        <v>0.57249999046325695</v>
      </c>
      <c r="BA20" s="1">
        <v>0.21899999678134899</v>
      </c>
      <c r="BB20" s="1">
        <v>0.79149997234344505</v>
      </c>
      <c r="BC20" s="1">
        <v>3.6300634999999999</v>
      </c>
      <c r="BD20" s="2">
        <v>34.971013261472997</v>
      </c>
      <c r="BE20" s="2">
        <f t="shared" si="0"/>
        <v>0.91388635984800004</v>
      </c>
      <c r="BF20" s="2">
        <f t="shared" si="1"/>
        <v>2.6833924144211796</v>
      </c>
      <c r="BG20" s="3">
        <v>407997</v>
      </c>
      <c r="BH20" s="3">
        <v>111052</v>
      </c>
      <c r="BI20">
        <v>37.398171378538116</v>
      </c>
      <c r="BJ20" s="3">
        <v>221534</v>
      </c>
      <c r="BK20">
        <v>58075</v>
      </c>
      <c r="BL20">
        <v>35.52878703528102</v>
      </c>
      <c r="BM20" s="3">
        <v>10367.958000000001</v>
      </c>
      <c r="BN20">
        <v>7062.3455000000004</v>
      </c>
      <c r="BO20">
        <v>213.64710775990835</v>
      </c>
      <c r="BP20">
        <v>85962395051.729202</v>
      </c>
      <c r="BQ20">
        <v>17875841302.570999</v>
      </c>
      <c r="BR20">
        <v>26.25458378820063</v>
      </c>
      <c r="BS20">
        <v>0.74017809999999995</v>
      </c>
      <c r="BT20">
        <v>16.154350000000001</v>
      </c>
      <c r="BU20">
        <v>9.3001229224898498</v>
      </c>
    </row>
    <row r="21" spans="1:73" x14ac:dyDescent="0.2">
      <c r="A21">
        <v>20</v>
      </c>
      <c r="B21" t="s">
        <v>52</v>
      </c>
      <c r="C21">
        <v>2011</v>
      </c>
      <c r="D21">
        <v>1</v>
      </c>
      <c r="E21">
        <v>1</v>
      </c>
      <c r="F21" t="s">
        <v>53</v>
      </c>
      <c r="G21">
        <v>0.79025000000000001</v>
      </c>
      <c r="H21">
        <v>0</v>
      </c>
      <c r="I21">
        <v>0.438</v>
      </c>
      <c r="J21">
        <v>0.36399999999999999</v>
      </c>
      <c r="K21">
        <v>1.4710000000000001</v>
      </c>
      <c r="L21">
        <v>1.341</v>
      </c>
      <c r="M21">
        <v>0.40200000000000002</v>
      </c>
      <c r="N21">
        <v>0.21</v>
      </c>
      <c r="O21">
        <v>0.79600000000000004</v>
      </c>
      <c r="P21">
        <v>3.766</v>
      </c>
      <c r="Q21">
        <v>1</v>
      </c>
      <c r="R21">
        <v>20003</v>
      </c>
      <c r="S21">
        <v>4.7889999999999997</v>
      </c>
      <c r="U21">
        <v>7.18</v>
      </c>
      <c r="V21">
        <v>42.6</v>
      </c>
      <c r="W21" t="s">
        <v>54</v>
      </c>
      <c r="X21" t="s">
        <v>55</v>
      </c>
      <c r="Y21" t="s">
        <v>59</v>
      </c>
      <c r="Z21">
        <v>0.59399999999999997</v>
      </c>
      <c r="AA21">
        <v>0.77400000000000002</v>
      </c>
      <c r="AB21">
        <v>257</v>
      </c>
      <c r="AC21">
        <v>10.7</v>
      </c>
      <c r="AE21">
        <v>-58.417299999999997</v>
      </c>
      <c r="AF21">
        <v>-34.611800000000002</v>
      </c>
      <c r="AG21" t="s">
        <v>57</v>
      </c>
      <c r="AH21" t="s">
        <v>58</v>
      </c>
      <c r="AI21">
        <v>14200.27</v>
      </c>
      <c r="AJ21">
        <v>6.003952</v>
      </c>
      <c r="AK21">
        <v>586000000000</v>
      </c>
      <c r="AL21">
        <v>14.008710000000001</v>
      </c>
      <c r="AN21">
        <v>-1.007271</v>
      </c>
      <c r="AO21">
        <v>56.54175</v>
      </c>
      <c r="AP21">
        <v>35.206150000000001</v>
      </c>
      <c r="AQ21">
        <v>2.0446399999999998</v>
      </c>
      <c r="AR21">
        <v>15.68896</v>
      </c>
      <c r="AS21">
        <v>4.1214469999999999</v>
      </c>
      <c r="AU21">
        <v>0.63361599999999996</v>
      </c>
      <c r="AW21">
        <v>27.09646</v>
      </c>
      <c r="AY21">
        <v>3.2555185008734302</v>
      </c>
      <c r="AZ21" s="1">
        <v>0.85850000381469704</v>
      </c>
      <c r="BA21" s="1">
        <v>4.9499999731779099E-2</v>
      </c>
      <c r="BB21" s="1">
        <v>0.90799999237060502</v>
      </c>
      <c r="BC21" s="1">
        <v>3.0416303</v>
      </c>
      <c r="BD21" s="2">
        <v>35.206155000288</v>
      </c>
      <c r="BE21" s="2">
        <f t="shared" si="0"/>
        <v>0.23514173881500255</v>
      </c>
      <c r="BF21" s="2">
        <f t="shared" si="1"/>
        <v>0.67239040818429596</v>
      </c>
      <c r="BG21" s="3">
        <v>532043</v>
      </c>
      <c r="BH21" s="3">
        <v>124046</v>
      </c>
      <c r="BI21">
        <v>30.403654928835262</v>
      </c>
      <c r="BJ21" s="3">
        <v>287483</v>
      </c>
      <c r="BK21">
        <v>65949</v>
      </c>
      <c r="BL21">
        <v>29.769245352857801</v>
      </c>
      <c r="BM21" s="3">
        <v>9351.9308999999994</v>
      </c>
      <c r="BN21">
        <v>1016.0271000000012</v>
      </c>
      <c r="BO21">
        <v>9.7996837950153832</v>
      </c>
      <c r="BP21">
        <v>100900907666.981</v>
      </c>
      <c r="BQ21">
        <v>14938512615.251801</v>
      </c>
      <c r="BR21">
        <v>17.377962312779118</v>
      </c>
      <c r="BS21">
        <v>0.52523799999999998</v>
      </c>
      <c r="BT21">
        <v>4.5114400000000003</v>
      </c>
      <c r="BU21">
        <v>4.78868313859435</v>
      </c>
    </row>
    <row r="22" spans="1:73" x14ac:dyDescent="0.2">
      <c r="A22">
        <v>21</v>
      </c>
      <c r="B22" t="s">
        <v>52</v>
      </c>
      <c r="C22">
        <v>2012</v>
      </c>
      <c r="D22">
        <v>1</v>
      </c>
      <c r="E22">
        <v>0</v>
      </c>
      <c r="F22" t="s">
        <v>53</v>
      </c>
      <c r="G22">
        <v>0.76024999999999998</v>
      </c>
      <c r="H22">
        <v>0</v>
      </c>
      <c r="I22">
        <v>0.438</v>
      </c>
      <c r="J22">
        <v>0.36399999999999999</v>
      </c>
      <c r="K22">
        <v>1.4710000000000001</v>
      </c>
      <c r="L22">
        <v>1.341</v>
      </c>
      <c r="M22">
        <v>0.40200000000000002</v>
      </c>
      <c r="N22">
        <v>0.21</v>
      </c>
      <c r="O22">
        <v>0.79600000000000004</v>
      </c>
      <c r="P22">
        <v>3.766</v>
      </c>
      <c r="Q22">
        <v>0</v>
      </c>
      <c r="R22">
        <v>19599</v>
      </c>
      <c r="S22">
        <v>-2.145</v>
      </c>
      <c r="U22">
        <v>7.22</v>
      </c>
      <c r="V22">
        <v>41.3</v>
      </c>
      <c r="W22" t="s">
        <v>54</v>
      </c>
      <c r="X22" t="s">
        <v>55</v>
      </c>
      <c r="Y22" t="s">
        <v>59</v>
      </c>
      <c r="Z22">
        <v>0.59099999999999997</v>
      </c>
      <c r="AA22">
        <v>0.77300000000000002</v>
      </c>
      <c r="AB22">
        <v>257</v>
      </c>
      <c r="AC22">
        <v>10.7</v>
      </c>
      <c r="AE22">
        <v>-58.417299999999997</v>
      </c>
      <c r="AF22">
        <v>-34.611800000000002</v>
      </c>
      <c r="AG22" t="s">
        <v>57</v>
      </c>
      <c r="AH22" t="s">
        <v>58</v>
      </c>
      <c r="AI22">
        <v>13895.63</v>
      </c>
      <c r="AJ22">
        <v>-1.0264200000000001</v>
      </c>
      <c r="AK22">
        <v>580000000000</v>
      </c>
      <c r="AL22">
        <v>15.212820000000001</v>
      </c>
      <c r="AN22">
        <v>-0.39159509999999997</v>
      </c>
      <c r="AO22">
        <v>56.379190000000001</v>
      </c>
      <c r="AP22">
        <v>30.526540000000001</v>
      </c>
      <c r="AQ22">
        <v>2.8066719999999998</v>
      </c>
      <c r="AR22">
        <v>16.645440000000001</v>
      </c>
      <c r="AS22">
        <v>7.0303719999999998</v>
      </c>
      <c r="AU22">
        <v>0.63361599999999996</v>
      </c>
      <c r="AW22">
        <v>27.08614</v>
      </c>
      <c r="AY22">
        <v>3.2555185008734302</v>
      </c>
      <c r="AZ22" s="1">
        <v>0.85850000381469704</v>
      </c>
      <c r="BA22" s="1">
        <v>4.9499999731779099E-2</v>
      </c>
      <c r="BB22" s="1">
        <v>0.90799999237060502</v>
      </c>
      <c r="BC22" s="1">
        <v>3.0413503999999998</v>
      </c>
      <c r="BD22" s="2">
        <v>30.526542372830001</v>
      </c>
      <c r="BE22" s="2">
        <f t="shared" si="0"/>
        <v>4.679612627457999</v>
      </c>
      <c r="BF22" s="2">
        <f t="shared" si="1"/>
        <v>13.29202983802042</v>
      </c>
      <c r="BG22" s="3">
        <v>726954</v>
      </c>
      <c r="BH22" s="3">
        <v>194911</v>
      </c>
      <c r="BI22">
        <v>36.634444960275765</v>
      </c>
      <c r="BJ22" s="3">
        <v>395809</v>
      </c>
      <c r="BK22">
        <v>108326</v>
      </c>
      <c r="BL22">
        <v>37.680836779913946</v>
      </c>
      <c r="BM22" s="3">
        <v>14269.0844</v>
      </c>
      <c r="BN22">
        <v>4917.1535000000003</v>
      </c>
      <c r="BO22">
        <v>52.579018735050752</v>
      </c>
      <c r="BP22">
        <v>93761965457.941803</v>
      </c>
      <c r="BQ22">
        <v>7138942209.0391998</v>
      </c>
      <c r="BR22">
        <v>7.0752011791617999</v>
      </c>
      <c r="BS22">
        <v>0.95648100000000003</v>
      </c>
      <c r="BT22">
        <v>6.9339680000000001</v>
      </c>
      <c r="BU22">
        <v>-2.1452844498181198</v>
      </c>
    </row>
    <row r="23" spans="1:73" x14ac:dyDescent="0.2">
      <c r="A23">
        <v>22</v>
      </c>
      <c r="B23" t="s">
        <v>52</v>
      </c>
      <c r="C23">
        <v>2013</v>
      </c>
      <c r="D23">
        <v>1</v>
      </c>
      <c r="E23">
        <v>1</v>
      </c>
      <c r="F23" t="s">
        <v>53</v>
      </c>
      <c r="G23">
        <v>0.78130999999999995</v>
      </c>
      <c r="H23">
        <v>0</v>
      </c>
      <c r="O23">
        <v>1.321</v>
      </c>
      <c r="P23">
        <v>3.4780000000000002</v>
      </c>
      <c r="Q23">
        <v>1</v>
      </c>
      <c r="R23">
        <v>19873</v>
      </c>
      <c r="S23">
        <v>1.266</v>
      </c>
      <c r="U23">
        <v>7.1</v>
      </c>
      <c r="V23">
        <v>40.9</v>
      </c>
      <c r="W23" t="s">
        <v>54</v>
      </c>
      <c r="X23" t="s">
        <v>55</v>
      </c>
      <c r="Y23" t="s">
        <v>59</v>
      </c>
      <c r="Z23">
        <v>0.59</v>
      </c>
      <c r="AA23">
        <v>0.77900000000000003</v>
      </c>
      <c r="AB23">
        <v>257</v>
      </c>
      <c r="AC23">
        <v>10.7</v>
      </c>
      <c r="AE23">
        <v>-58.417299999999997</v>
      </c>
      <c r="AF23">
        <v>-34.611800000000002</v>
      </c>
      <c r="AG23" t="s">
        <v>57</v>
      </c>
      <c r="AH23" t="s">
        <v>58</v>
      </c>
      <c r="AI23">
        <v>14071.51</v>
      </c>
      <c r="AJ23">
        <v>2.4053239999999998</v>
      </c>
      <c r="AK23">
        <v>594000000000</v>
      </c>
      <c r="AL23">
        <v>15.729089999999999</v>
      </c>
      <c r="AN23">
        <v>-2.3774959999999998</v>
      </c>
      <c r="AO23">
        <v>56.292270000000002</v>
      </c>
      <c r="AP23">
        <v>29.333929999999999</v>
      </c>
      <c r="AQ23">
        <v>1.7792060000000001</v>
      </c>
      <c r="AR23">
        <v>16.806239999999999</v>
      </c>
      <c r="AS23">
        <v>3.4317440000000001</v>
      </c>
      <c r="AU23">
        <v>1.7450410000000001</v>
      </c>
      <c r="AW23">
        <v>27.109909999999999</v>
      </c>
      <c r="AY23">
        <v>3.6723836747657601</v>
      </c>
      <c r="AZ23" s="1">
        <v>0.34850001335143999</v>
      </c>
      <c r="BA23" s="1">
        <v>0.22450000047683699</v>
      </c>
      <c r="BB23" s="1">
        <v>0.57300001382827803</v>
      </c>
      <c r="BC23" s="1">
        <v>4.6030382999999997</v>
      </c>
      <c r="BD23" s="2">
        <v>29.333929000908999</v>
      </c>
      <c r="BE23" s="2">
        <f t="shared" si="0"/>
        <v>1.1926133719210021</v>
      </c>
      <c r="BF23" s="2">
        <f t="shared" si="1"/>
        <v>3.9068079095078971</v>
      </c>
      <c r="BG23" s="3">
        <v>917161</v>
      </c>
      <c r="BH23" s="3">
        <v>190207</v>
      </c>
      <c r="BI23">
        <v>26.164929280257073</v>
      </c>
      <c r="BJ23" s="3">
        <v>492096</v>
      </c>
      <c r="BK23">
        <v>96287</v>
      </c>
      <c r="BL23">
        <v>24.326632289816551</v>
      </c>
      <c r="BM23" s="3">
        <v>8931.6890000000003</v>
      </c>
      <c r="BN23">
        <v>5337.3953999999994</v>
      </c>
      <c r="BO23">
        <v>37.405311023319754</v>
      </c>
      <c r="BP23">
        <v>95955516955.604996</v>
      </c>
      <c r="BQ23">
        <v>2193551497.6631927</v>
      </c>
      <c r="BR23">
        <v>2.3394896714778657</v>
      </c>
      <c r="BS23">
        <v>0.1608009</v>
      </c>
      <c r="BT23">
        <v>3.4109699999999998</v>
      </c>
      <c r="BU23">
        <v>1.2656851753707601</v>
      </c>
    </row>
    <row r="24" spans="1:73" x14ac:dyDescent="0.2">
      <c r="A24">
        <v>23</v>
      </c>
      <c r="B24" t="s">
        <v>52</v>
      </c>
      <c r="C24">
        <v>2014</v>
      </c>
      <c r="D24">
        <v>1</v>
      </c>
      <c r="E24">
        <v>0</v>
      </c>
      <c r="F24" t="s">
        <v>53</v>
      </c>
      <c r="G24">
        <v>0.78005000000000002</v>
      </c>
      <c r="H24">
        <v>0</v>
      </c>
      <c r="O24">
        <v>1.321</v>
      </c>
      <c r="P24">
        <v>3.4780000000000002</v>
      </c>
      <c r="Q24">
        <v>0</v>
      </c>
      <c r="R24">
        <v>19183</v>
      </c>
      <c r="S24">
        <v>-3.5790000000000002</v>
      </c>
      <c r="U24">
        <v>7.27</v>
      </c>
      <c r="V24">
        <v>41.6</v>
      </c>
      <c r="W24" t="s">
        <v>54</v>
      </c>
      <c r="X24" t="s">
        <v>55</v>
      </c>
      <c r="Y24" t="s">
        <v>59</v>
      </c>
      <c r="Z24">
        <v>0.60699999999999998</v>
      </c>
      <c r="AA24">
        <v>0.79100000000000004</v>
      </c>
      <c r="AB24">
        <v>257</v>
      </c>
      <c r="AC24">
        <v>10.7</v>
      </c>
      <c r="AE24">
        <v>-58.417299999999997</v>
      </c>
      <c r="AF24">
        <v>-34.611800000000002</v>
      </c>
      <c r="AG24" t="s">
        <v>57</v>
      </c>
      <c r="AH24" t="s">
        <v>58</v>
      </c>
      <c r="AI24">
        <v>13567.95</v>
      </c>
      <c r="AJ24">
        <v>-2.5126149999999998</v>
      </c>
      <c r="AK24">
        <v>579000000000</v>
      </c>
      <c r="AL24">
        <v>13.82377</v>
      </c>
      <c r="AN24">
        <v>-1.7440020000000001</v>
      </c>
      <c r="AO24">
        <v>56.212240000000001</v>
      </c>
      <c r="AP24">
        <v>28.406790000000001</v>
      </c>
      <c r="AQ24">
        <v>0.9624066</v>
      </c>
      <c r="AR24">
        <v>16.949870000000001</v>
      </c>
      <c r="AS24">
        <v>4.9179389999999996</v>
      </c>
      <c r="AU24">
        <v>1.7450410000000001</v>
      </c>
      <c r="AW24">
        <v>27.08446</v>
      </c>
      <c r="AY24">
        <v>3.6723836747657601</v>
      </c>
      <c r="AZ24" s="1">
        <v>0.34850001335143999</v>
      </c>
      <c r="BA24" s="1">
        <v>0.22450000047683699</v>
      </c>
      <c r="BB24" s="1">
        <v>0.57300001382827803</v>
      </c>
      <c r="BC24" s="1">
        <v>4.6030382999999997</v>
      </c>
      <c r="BD24" s="2">
        <v>28.406793645090001</v>
      </c>
      <c r="BE24" s="2">
        <f t="shared" si="0"/>
        <v>0.9271353558189972</v>
      </c>
      <c r="BF24" s="2">
        <f t="shared" si="1"/>
        <v>3.1606245306936795</v>
      </c>
      <c r="BG24" s="3">
        <v>1171835</v>
      </c>
      <c r="BH24" s="3">
        <v>254674</v>
      </c>
      <c r="BI24">
        <v>27.767643848789906</v>
      </c>
      <c r="BJ24" s="3">
        <v>632618</v>
      </c>
      <c r="BK24">
        <v>140522</v>
      </c>
      <c r="BL24">
        <v>28.555810248406814</v>
      </c>
      <c r="BM24" s="3">
        <v>3144.7941000000001</v>
      </c>
      <c r="BN24">
        <v>5786.8949000000002</v>
      </c>
      <c r="BO24">
        <v>64.790600075752749</v>
      </c>
      <c r="BP24">
        <v>89473196447.266006</v>
      </c>
      <c r="BQ24">
        <v>6482320508.3389893</v>
      </c>
      <c r="BR24">
        <v>6.7555474807541449</v>
      </c>
      <c r="BS24">
        <v>0.14363670000000001</v>
      </c>
      <c r="BT24">
        <v>4.8442660000000002</v>
      </c>
      <c r="BU24">
        <v>-3.5785805098328902</v>
      </c>
    </row>
    <row r="25" spans="1:73" x14ac:dyDescent="0.2">
      <c r="A25">
        <v>24</v>
      </c>
      <c r="B25" t="s">
        <v>52</v>
      </c>
      <c r="C25">
        <v>2015</v>
      </c>
      <c r="D25">
        <v>1</v>
      </c>
      <c r="E25">
        <v>1</v>
      </c>
      <c r="F25" t="s">
        <v>53</v>
      </c>
      <c r="G25">
        <v>0.77878000000000003</v>
      </c>
      <c r="H25">
        <v>0</v>
      </c>
      <c r="O25">
        <v>1.321</v>
      </c>
      <c r="P25">
        <v>4.1520000000000001</v>
      </c>
      <c r="Q25">
        <v>1</v>
      </c>
      <c r="R25">
        <v>19502</v>
      </c>
      <c r="S25">
        <v>1.63</v>
      </c>
      <c r="W25" t="s">
        <v>54</v>
      </c>
      <c r="X25" t="s">
        <v>55</v>
      </c>
      <c r="Y25" t="s">
        <v>59</v>
      </c>
      <c r="Z25">
        <v>0.6</v>
      </c>
      <c r="AA25">
        <v>0.77500000000000002</v>
      </c>
      <c r="AB25">
        <v>257</v>
      </c>
      <c r="AC25">
        <v>10.7</v>
      </c>
      <c r="AE25">
        <v>-58.417299999999997</v>
      </c>
      <c r="AF25">
        <v>-34.611800000000002</v>
      </c>
      <c r="AG25" t="s">
        <v>57</v>
      </c>
      <c r="AH25" t="s">
        <v>58</v>
      </c>
      <c r="AI25">
        <v>13789.06</v>
      </c>
      <c r="AJ25">
        <v>2.73116</v>
      </c>
      <c r="AK25">
        <v>595000000000</v>
      </c>
      <c r="AL25">
        <v>14.41423</v>
      </c>
      <c r="AN25">
        <v>-2.9629270000000001</v>
      </c>
      <c r="AO25">
        <v>56.1036</v>
      </c>
      <c r="AP25">
        <v>22.486229999999999</v>
      </c>
      <c r="AQ25">
        <v>1.9771350000000001</v>
      </c>
      <c r="AR25">
        <v>18.098379999999999</v>
      </c>
      <c r="AS25">
        <v>5.2437750000000003</v>
      </c>
      <c r="AU25">
        <v>1.7450410000000001</v>
      </c>
      <c r="AW25">
        <v>27.1114</v>
      </c>
      <c r="AY25">
        <v>3.6723836747657601</v>
      </c>
      <c r="AZ25" s="1">
        <v>0.47900000214576699</v>
      </c>
      <c r="BA25" s="1">
        <v>0.117499999701977</v>
      </c>
      <c r="BB25" s="1">
        <v>0.59649997949600198</v>
      </c>
      <c r="BC25" s="1">
        <v>4.6236614999999999</v>
      </c>
      <c r="BD25" s="2">
        <v>22.486226089113998</v>
      </c>
      <c r="BE25" s="2">
        <f t="shared" si="0"/>
        <v>5.9205675559760031</v>
      </c>
      <c r="BF25" s="2">
        <f t="shared" si="1"/>
        <v>20.842083164846549</v>
      </c>
      <c r="BG25" s="3">
        <v>1565413</v>
      </c>
      <c r="BH25" s="3">
        <v>393578</v>
      </c>
      <c r="BI25">
        <v>33.586469084811426</v>
      </c>
      <c r="BJ25" s="3">
        <v>799273</v>
      </c>
      <c r="BK25">
        <v>166655</v>
      </c>
      <c r="BL25">
        <v>26.343701886446482</v>
      </c>
      <c r="BM25" s="3">
        <v>10883.7608</v>
      </c>
      <c r="BN25">
        <v>7738.9666999999999</v>
      </c>
      <c r="BO25">
        <v>246.0881842789008</v>
      </c>
      <c r="BP25">
        <v>92571210122.056</v>
      </c>
      <c r="BQ25">
        <v>3098013674.7899933</v>
      </c>
      <c r="BR25">
        <v>3.4625047475708666</v>
      </c>
      <c r="BS25">
        <v>1.148504</v>
      </c>
      <c r="BT25">
        <v>5.2082449999999998</v>
      </c>
      <c r="BU25">
        <v>1.6296642794626299</v>
      </c>
    </row>
    <row r="26" spans="1:73" x14ac:dyDescent="0.2">
      <c r="A26">
        <v>25</v>
      </c>
      <c r="B26" t="s">
        <v>52</v>
      </c>
      <c r="C26">
        <v>2016</v>
      </c>
      <c r="D26">
        <v>1</v>
      </c>
      <c r="E26">
        <v>0</v>
      </c>
      <c r="F26" t="s">
        <v>53</v>
      </c>
      <c r="G26">
        <v>0.77751000000000003</v>
      </c>
      <c r="H26">
        <v>0</v>
      </c>
      <c r="O26">
        <v>1.321</v>
      </c>
      <c r="P26">
        <v>4.1790000000000003</v>
      </c>
      <c r="Q26">
        <v>0</v>
      </c>
      <c r="R26">
        <v>18875</v>
      </c>
      <c r="S26">
        <v>-3.11</v>
      </c>
      <c r="V26">
        <v>42</v>
      </c>
      <c r="W26" t="s">
        <v>54</v>
      </c>
      <c r="X26" t="s">
        <v>55</v>
      </c>
      <c r="Y26" t="s">
        <v>59</v>
      </c>
      <c r="Z26">
        <v>0.622</v>
      </c>
      <c r="AA26">
        <v>0.75</v>
      </c>
      <c r="AB26">
        <v>257</v>
      </c>
      <c r="AC26">
        <v>10.7</v>
      </c>
      <c r="AE26">
        <v>-58.417299999999997</v>
      </c>
      <c r="AF26">
        <v>-34.611800000000002</v>
      </c>
      <c r="AG26" t="s">
        <v>57</v>
      </c>
      <c r="AH26" t="s">
        <v>58</v>
      </c>
      <c r="AI26">
        <v>13360.21</v>
      </c>
      <c r="AJ26">
        <v>-2.0803280000000002</v>
      </c>
      <c r="AK26">
        <v>582000000000</v>
      </c>
      <c r="AL26">
        <v>13.667630000000001</v>
      </c>
      <c r="AN26">
        <v>-2.7092260000000001</v>
      </c>
      <c r="AO26">
        <v>56.102269999999997</v>
      </c>
      <c r="AP26">
        <v>26.093889999999998</v>
      </c>
      <c r="AQ26">
        <v>0.58474990000000004</v>
      </c>
      <c r="AR26">
        <v>17.654579999999999</v>
      </c>
      <c r="AS26">
        <v>4.8114879999999998</v>
      </c>
      <c r="AU26">
        <v>1.7450410000000001</v>
      </c>
      <c r="AW26">
        <v>27.09038</v>
      </c>
      <c r="AY26">
        <v>3.6723836747657601</v>
      </c>
      <c r="AZ26" s="1">
        <v>0.47900000214576699</v>
      </c>
      <c r="BA26" s="1">
        <v>0.117499999701977</v>
      </c>
      <c r="BB26" s="1">
        <v>0.59649997949600198</v>
      </c>
      <c r="BC26" s="1">
        <v>4.6236614999999999</v>
      </c>
      <c r="BD26" s="2">
        <v>26.093887848451999</v>
      </c>
      <c r="BE26" s="2">
        <f t="shared" si="0"/>
        <v>3.6076617593380007</v>
      </c>
      <c r="BF26" s="2">
        <f t="shared" si="1"/>
        <v>16.043873903253765</v>
      </c>
      <c r="BG26" s="3">
        <v>1974172</v>
      </c>
      <c r="BH26" s="3">
        <v>408759</v>
      </c>
      <c r="BI26">
        <v>26.111895071779781</v>
      </c>
      <c r="BJ26" s="3">
        <v>1022714</v>
      </c>
      <c r="BK26">
        <v>223441</v>
      </c>
      <c r="BL26">
        <v>27.95552958751265</v>
      </c>
      <c r="BM26" s="3">
        <v>1473.6333999999999</v>
      </c>
      <c r="BN26">
        <v>9410.1273999999994</v>
      </c>
      <c r="BO26">
        <v>86.460255539610898</v>
      </c>
      <c r="BP26">
        <v>87222011290.229507</v>
      </c>
      <c r="BQ26">
        <v>5349198831.8264923</v>
      </c>
      <c r="BR26">
        <v>5.7784691641964319</v>
      </c>
      <c r="BS26">
        <v>0.44380190000000003</v>
      </c>
      <c r="BT26">
        <v>4.7397280000000004</v>
      </c>
      <c r="BU26">
        <v>-3.11006389821465</v>
      </c>
    </row>
    <row r="27" spans="1:73" x14ac:dyDescent="0.2">
      <c r="A27">
        <v>26</v>
      </c>
      <c r="B27" t="s">
        <v>52</v>
      </c>
      <c r="C27">
        <v>2017</v>
      </c>
      <c r="D27">
        <v>1</v>
      </c>
      <c r="E27">
        <v>0</v>
      </c>
      <c r="F27" t="s">
        <v>53</v>
      </c>
      <c r="G27">
        <v>0.77624000000000004</v>
      </c>
      <c r="H27">
        <v>0</v>
      </c>
      <c r="O27">
        <v>1.321</v>
      </c>
      <c r="P27">
        <v>4.3739999999999997</v>
      </c>
      <c r="Q27">
        <v>0</v>
      </c>
      <c r="R27">
        <v>19200.900000000001</v>
      </c>
      <c r="S27">
        <v>1.758</v>
      </c>
      <c r="U27">
        <v>8.35</v>
      </c>
      <c r="V27">
        <v>41.1</v>
      </c>
      <c r="W27" t="s">
        <v>54</v>
      </c>
      <c r="X27" t="s">
        <v>55</v>
      </c>
      <c r="Y27" t="s">
        <v>59</v>
      </c>
      <c r="Z27">
        <v>0.60899999999999999</v>
      </c>
      <c r="AA27">
        <v>0.749</v>
      </c>
      <c r="AB27">
        <v>257</v>
      </c>
      <c r="AC27">
        <v>10.7</v>
      </c>
      <c r="AE27">
        <v>-58.417299999999997</v>
      </c>
      <c r="AF27">
        <v>-34.611800000000002</v>
      </c>
      <c r="AG27" t="s">
        <v>57</v>
      </c>
      <c r="AH27" t="s">
        <v>58</v>
      </c>
      <c r="AI27">
        <v>13595.04</v>
      </c>
      <c r="AJ27">
        <v>2.8185030000000002</v>
      </c>
      <c r="AK27">
        <v>599000000000</v>
      </c>
      <c r="AL27">
        <v>15.958500000000001</v>
      </c>
      <c r="AN27">
        <v>-4.8399570000000001</v>
      </c>
      <c r="AO27">
        <v>56.04636</v>
      </c>
      <c r="AP27">
        <v>25.2896</v>
      </c>
      <c r="AQ27">
        <v>1.789364</v>
      </c>
      <c r="AR27">
        <v>17.69689</v>
      </c>
      <c r="AS27">
        <v>4.8988300000000002</v>
      </c>
      <c r="AU27">
        <v>1.7450410000000001</v>
      </c>
      <c r="AW27">
        <v>27.118179999999999</v>
      </c>
      <c r="AY27">
        <v>3.6723836747657601</v>
      </c>
      <c r="AZ27" s="1" t="s">
        <v>101</v>
      </c>
      <c r="BA27" s="1" t="s">
        <v>101</v>
      </c>
      <c r="BB27" s="1" t="s">
        <v>101</v>
      </c>
      <c r="BC27" s="1" t="s">
        <v>101</v>
      </c>
      <c r="BD27" s="2">
        <v>25.289601137635</v>
      </c>
      <c r="BE27" s="2">
        <f t="shared" si="0"/>
        <v>0.80428671081699932</v>
      </c>
      <c r="BF27" s="2">
        <f t="shared" si="1"/>
        <v>3.0822800936684223</v>
      </c>
      <c r="BG27" s="3">
        <v>2461045</v>
      </c>
      <c r="BH27" s="3">
        <v>486873</v>
      </c>
      <c r="BI27">
        <v>24.662136835088329</v>
      </c>
      <c r="BJ27" s="3">
        <v>1226162</v>
      </c>
      <c r="BK27">
        <v>203448</v>
      </c>
      <c r="BL27">
        <v>19.892951499637238</v>
      </c>
      <c r="BM27" s="3">
        <v>10361.2312</v>
      </c>
      <c r="BN27">
        <v>8887.5977999999996</v>
      </c>
      <c r="BO27">
        <v>603.10778786637161</v>
      </c>
      <c r="BP27">
        <v>98892817130.208298</v>
      </c>
      <c r="BQ27">
        <v>11670805839.97879</v>
      </c>
      <c r="BR27">
        <v>13.380574085988931</v>
      </c>
      <c r="BS27">
        <v>4.2316399999999997E-2</v>
      </c>
      <c r="BT27">
        <v>4.867712</v>
      </c>
      <c r="BU27">
        <v>1.7576481826569399</v>
      </c>
    </row>
    <row r="28" spans="1:73" x14ac:dyDescent="0.2">
      <c r="A28">
        <v>27</v>
      </c>
      <c r="B28" t="s">
        <v>52</v>
      </c>
      <c r="C28">
        <v>2018</v>
      </c>
      <c r="D28">
        <v>1</v>
      </c>
      <c r="E28">
        <v>1</v>
      </c>
      <c r="F28" t="s">
        <v>53</v>
      </c>
      <c r="G28">
        <v>0.77497000000000005</v>
      </c>
      <c r="H28">
        <v>0</v>
      </c>
      <c r="O28">
        <v>1.321</v>
      </c>
      <c r="P28">
        <v>4.5960000000000001</v>
      </c>
      <c r="Q28">
        <v>1</v>
      </c>
      <c r="R28">
        <v>18556.400000000001</v>
      </c>
      <c r="S28">
        <v>-3.55</v>
      </c>
      <c r="U28">
        <v>9.2200000000000006</v>
      </c>
      <c r="V28">
        <v>41.3</v>
      </c>
      <c r="W28" t="s">
        <v>54</v>
      </c>
      <c r="X28" t="s">
        <v>55</v>
      </c>
      <c r="Y28" t="s">
        <v>59</v>
      </c>
      <c r="Z28">
        <v>0.625</v>
      </c>
      <c r="AA28">
        <v>0.77900000000000003</v>
      </c>
      <c r="AB28">
        <v>257</v>
      </c>
      <c r="AC28">
        <v>10.7</v>
      </c>
      <c r="AE28">
        <v>-58.417299999999997</v>
      </c>
      <c r="AF28">
        <v>-34.611800000000002</v>
      </c>
      <c r="AG28" t="s">
        <v>57</v>
      </c>
      <c r="AH28" t="s">
        <v>58</v>
      </c>
      <c r="AI28">
        <v>13105.4</v>
      </c>
      <c r="AJ28">
        <v>-2.6173959999999998</v>
      </c>
      <c r="AK28">
        <v>583000000000</v>
      </c>
      <c r="AN28">
        <v>-5.1605540000000003</v>
      </c>
      <c r="AO28">
        <v>55.954470000000001</v>
      </c>
      <c r="AP28">
        <v>30.762540000000001</v>
      </c>
      <c r="AQ28">
        <v>2.232532</v>
      </c>
      <c r="AR28">
        <v>15.805099999999999</v>
      </c>
      <c r="AS28">
        <v>5.435899</v>
      </c>
      <c r="AU28">
        <v>1.7450410000000001</v>
      </c>
      <c r="AW28">
        <v>27.091660000000001</v>
      </c>
      <c r="AY28">
        <v>3.6723836747657601</v>
      </c>
      <c r="AZ28" s="1" t="s">
        <v>101</v>
      </c>
      <c r="BA28" s="1" t="s">
        <v>101</v>
      </c>
      <c r="BB28" s="1" t="s">
        <v>101</v>
      </c>
      <c r="BC28" s="1" t="s">
        <v>101</v>
      </c>
      <c r="BD28" s="2">
        <v>30.762535955309001</v>
      </c>
      <c r="BE28" s="2">
        <f t="shared" si="0"/>
        <v>5.4729348176740018</v>
      </c>
      <c r="BF28" s="2">
        <f t="shared" si="1"/>
        <v>21.641048381460603</v>
      </c>
      <c r="BG28">
        <v>3393358</v>
      </c>
      <c r="BH28" s="3">
        <v>932313</v>
      </c>
      <c r="BI28">
        <v>37.882809944556072</v>
      </c>
      <c r="BJ28" s="3">
        <v>1495412</v>
      </c>
      <c r="BK28">
        <v>269250</v>
      </c>
      <c r="BL28">
        <v>21.958762382132214</v>
      </c>
      <c r="BM28" s="3">
        <v>9990.7883000000002</v>
      </c>
      <c r="BN28">
        <v>370.44290000000001</v>
      </c>
      <c r="BO28">
        <v>3.575278775750125</v>
      </c>
      <c r="BP28">
        <v>93210783977.913696</v>
      </c>
      <c r="BQ28">
        <v>5682033152.2946014</v>
      </c>
      <c r="BR28">
        <v>5.7456479825155471</v>
      </c>
      <c r="BS28">
        <v>1.891796</v>
      </c>
      <c r="BT28">
        <v>5.3592579999999996</v>
      </c>
      <c r="BU28">
        <v>-3.6016097565715501</v>
      </c>
    </row>
    <row r="29" spans="1:73" x14ac:dyDescent="0.2">
      <c r="A29">
        <v>28</v>
      </c>
      <c r="B29" t="s">
        <v>52</v>
      </c>
      <c r="C29">
        <v>2019</v>
      </c>
      <c r="D29">
        <v>1</v>
      </c>
      <c r="E29">
        <v>0</v>
      </c>
      <c r="F29" t="s">
        <v>53</v>
      </c>
      <c r="G29">
        <v>0.77371000000000001</v>
      </c>
      <c r="H29">
        <v>0</v>
      </c>
      <c r="O29">
        <v>1.321</v>
      </c>
      <c r="Q29">
        <v>0</v>
      </c>
      <c r="S29">
        <v>-3.056</v>
      </c>
      <c r="U29">
        <v>9.84</v>
      </c>
      <c r="V29">
        <v>42.9</v>
      </c>
      <c r="W29" t="s">
        <v>54</v>
      </c>
      <c r="X29" t="s">
        <v>55</v>
      </c>
      <c r="Y29" t="s">
        <v>59</v>
      </c>
      <c r="Z29">
        <v>0.60499999999999998</v>
      </c>
      <c r="AA29">
        <v>0.77700000000000002</v>
      </c>
      <c r="AB29">
        <v>257</v>
      </c>
      <c r="AC29">
        <v>10.7</v>
      </c>
      <c r="AE29">
        <v>-58.417299999999997</v>
      </c>
      <c r="AF29">
        <v>-34.611800000000002</v>
      </c>
      <c r="AG29" t="s">
        <v>57</v>
      </c>
      <c r="AH29" t="s">
        <v>58</v>
      </c>
      <c r="AI29">
        <v>12712.97</v>
      </c>
      <c r="AJ29">
        <v>-2.0259339999999999</v>
      </c>
      <c r="AK29">
        <v>571000000000</v>
      </c>
      <c r="AN29">
        <v>-0.81931279999999995</v>
      </c>
      <c r="AO29">
        <v>55.857030000000002</v>
      </c>
      <c r="AP29">
        <v>32.214449999999999</v>
      </c>
      <c r="AQ29">
        <v>1.4714640000000001</v>
      </c>
      <c r="AR29">
        <v>15.209490000000001</v>
      </c>
      <c r="AS29">
        <v>0.59146209999999999</v>
      </c>
      <c r="AU29">
        <v>1.7450410000000001</v>
      </c>
      <c r="AW29">
        <v>27.071190000000001</v>
      </c>
      <c r="AY29">
        <v>3.6723836747657601</v>
      </c>
      <c r="AZ29" s="1" t="s">
        <v>101</v>
      </c>
      <c r="BA29" s="1" t="s">
        <v>101</v>
      </c>
      <c r="BB29" s="1" t="s">
        <v>101</v>
      </c>
      <c r="BC29" s="1" t="s">
        <v>101</v>
      </c>
      <c r="BD29" s="2">
        <v>32.214447185509002</v>
      </c>
      <c r="BE29" s="2">
        <f t="shared" si="0"/>
        <v>1.4519112302000003</v>
      </c>
      <c r="BF29" s="2">
        <f t="shared" si="1"/>
        <v>4.7197384256918822</v>
      </c>
      <c r="BG29">
        <v>4256904</v>
      </c>
      <c r="BH29" s="3">
        <v>863546</v>
      </c>
      <c r="BI29">
        <v>25.448125426200242</v>
      </c>
      <c r="BJ29" s="3">
        <v>1942914</v>
      </c>
      <c r="BK29">
        <v>447502</v>
      </c>
      <c r="BL29">
        <v>29.924997258280662</v>
      </c>
      <c r="BM29" s="3">
        <v>5123.8459999999995</v>
      </c>
      <c r="BN29">
        <v>4866.9423000000006</v>
      </c>
      <c r="BO29">
        <v>48.714297149104844</v>
      </c>
      <c r="BP29">
        <v>78399592464.924698</v>
      </c>
      <c r="BQ29">
        <v>14811191512.988998</v>
      </c>
      <c r="BR29">
        <v>15.889997788773574</v>
      </c>
      <c r="BS29">
        <v>0.59560869999999999</v>
      </c>
      <c r="BT29">
        <v>0.60722180000000003</v>
      </c>
      <c r="BU29">
        <v>-2.9943878886429198</v>
      </c>
    </row>
    <row r="30" spans="1:73" x14ac:dyDescent="0.2">
      <c r="A30">
        <v>29</v>
      </c>
      <c r="B30" t="s">
        <v>60</v>
      </c>
      <c r="C30">
        <v>1992</v>
      </c>
      <c r="D30">
        <v>2</v>
      </c>
      <c r="E30">
        <v>0</v>
      </c>
      <c r="F30" t="s">
        <v>61</v>
      </c>
      <c r="G30">
        <v>0.77244000000000002</v>
      </c>
      <c r="H30">
        <v>0</v>
      </c>
      <c r="O30">
        <v>0.108</v>
      </c>
      <c r="Q30">
        <v>0</v>
      </c>
      <c r="R30">
        <v>3592.1</v>
      </c>
      <c r="S30">
        <v>-0.47499999999999998</v>
      </c>
      <c r="T30">
        <v>12.06</v>
      </c>
      <c r="U30">
        <v>5.52</v>
      </c>
      <c r="V30">
        <v>49.1</v>
      </c>
      <c r="W30" t="s">
        <v>54</v>
      </c>
      <c r="X30" t="s">
        <v>55</v>
      </c>
      <c r="Y30" t="s">
        <v>62</v>
      </c>
      <c r="Z30">
        <v>0.48</v>
      </c>
      <c r="AA30">
        <v>0.71799999999999997</v>
      </c>
      <c r="AB30">
        <v>130</v>
      </c>
      <c r="AE30">
        <v>-66.193600000000004</v>
      </c>
      <c r="AF30">
        <v>-13.9908</v>
      </c>
      <c r="AG30" t="s">
        <v>63</v>
      </c>
      <c r="AH30" t="s">
        <v>58</v>
      </c>
      <c r="AI30">
        <v>1789.24</v>
      </c>
      <c r="AJ30">
        <v>1.646498</v>
      </c>
      <c r="AK30">
        <v>12800000000</v>
      </c>
      <c r="AN30">
        <v>-9.4597820000000006</v>
      </c>
      <c r="AO30">
        <v>79.345609999999994</v>
      </c>
      <c r="AP30">
        <v>49.110860000000002</v>
      </c>
      <c r="AQ30">
        <v>1.64957</v>
      </c>
      <c r="AR30">
        <v>12.8705</v>
      </c>
      <c r="AT30">
        <v>2.4898940000000001</v>
      </c>
      <c r="AU30">
        <v>1.1664000000000001E-2</v>
      </c>
      <c r="AV30">
        <v>2.4898940000000001</v>
      </c>
      <c r="AW30">
        <v>23.273689999999998</v>
      </c>
      <c r="AY30">
        <v>2.7092266158488201</v>
      </c>
      <c r="AZ30" s="1">
        <v>0.17050001025199901</v>
      </c>
      <c r="BA30" s="1">
        <v>0.163499996066093</v>
      </c>
      <c r="BB30" s="1">
        <v>0.33399999141693099</v>
      </c>
      <c r="BC30" s="1">
        <v>3.9174775999999998</v>
      </c>
      <c r="BD30" s="2">
        <v>49.110857759620998</v>
      </c>
      <c r="BE30" s="2"/>
      <c r="BF30" s="2"/>
      <c r="BG30">
        <v>1337</v>
      </c>
      <c r="BH30" s="3">
        <v>158</v>
      </c>
      <c r="BI30">
        <v>13.401187446988974</v>
      </c>
      <c r="BJ30">
        <v>1236</v>
      </c>
      <c r="BK30">
        <v>197</v>
      </c>
      <c r="BL30">
        <v>18.960538979788257</v>
      </c>
      <c r="BM30" s="3">
        <v>91.1</v>
      </c>
      <c r="BN30">
        <v>41.099999999999994</v>
      </c>
      <c r="BO30">
        <v>82.199999999999989</v>
      </c>
      <c r="BP30">
        <v>2009742954.4858699</v>
      </c>
      <c r="BQ30">
        <v>216394300.16209984</v>
      </c>
      <c r="BR30">
        <v>12.066493575600729</v>
      </c>
      <c r="BU30">
        <v>-0.47504396917582897</v>
      </c>
    </row>
    <row r="31" spans="1:73" x14ac:dyDescent="0.2">
      <c r="A31">
        <v>30</v>
      </c>
      <c r="B31" t="s">
        <v>60</v>
      </c>
      <c r="C31">
        <v>1993</v>
      </c>
      <c r="D31">
        <v>2</v>
      </c>
      <c r="E31">
        <v>1</v>
      </c>
      <c r="F31" t="s">
        <v>61</v>
      </c>
      <c r="G31">
        <v>0.30237999999999998</v>
      </c>
      <c r="H31">
        <v>0</v>
      </c>
      <c r="I31">
        <v>0.58499999999999996</v>
      </c>
      <c r="J31">
        <v>0.68200000000000005</v>
      </c>
      <c r="K31">
        <v>1.7</v>
      </c>
      <c r="L31">
        <v>1.8360000000000001</v>
      </c>
      <c r="M31">
        <v>0.45400000000000001</v>
      </c>
      <c r="N31">
        <v>0.65600000000000003</v>
      </c>
      <c r="O31">
        <v>0.108</v>
      </c>
      <c r="Q31">
        <v>1</v>
      </c>
      <c r="R31">
        <v>3670.3</v>
      </c>
      <c r="S31">
        <v>2.1030000000000002</v>
      </c>
      <c r="T31">
        <v>8.5299999999999994</v>
      </c>
      <c r="U31">
        <v>5.99</v>
      </c>
      <c r="W31" t="s">
        <v>54</v>
      </c>
      <c r="X31" t="s">
        <v>55</v>
      </c>
      <c r="Y31" t="s">
        <v>62</v>
      </c>
      <c r="Z31">
        <v>0.49</v>
      </c>
      <c r="AA31">
        <v>0.73199999999999998</v>
      </c>
      <c r="AB31">
        <v>130</v>
      </c>
      <c r="AE31">
        <v>-66.193600000000004</v>
      </c>
      <c r="AF31">
        <v>-13.9908</v>
      </c>
      <c r="AG31" t="s">
        <v>63</v>
      </c>
      <c r="AH31" t="s">
        <v>58</v>
      </c>
      <c r="AI31">
        <v>1826.866</v>
      </c>
      <c r="AJ31">
        <v>4.2692959999999998</v>
      </c>
      <c r="AK31">
        <v>13400000000</v>
      </c>
      <c r="AN31">
        <v>-8.8147950000000002</v>
      </c>
      <c r="AO31">
        <v>78.841309999999993</v>
      </c>
      <c r="AP31">
        <v>47.467120000000001</v>
      </c>
      <c r="AQ31">
        <v>2.1587969999999999</v>
      </c>
      <c r="AR31">
        <v>13.37044</v>
      </c>
      <c r="AS31">
        <v>2.622798</v>
      </c>
      <c r="AT31">
        <v>2.143589</v>
      </c>
      <c r="AU31">
        <v>1.1664000000000001E-2</v>
      </c>
      <c r="AV31">
        <v>2.143589</v>
      </c>
      <c r="AW31">
        <v>23.3155</v>
      </c>
      <c r="AX31">
        <v>3.5300009999999999</v>
      </c>
      <c r="AY31">
        <v>2.7092266158488201</v>
      </c>
      <c r="AZ31" s="1">
        <v>0.8125</v>
      </c>
      <c r="BA31" s="1">
        <v>4.9000002443790401E-2</v>
      </c>
      <c r="BB31" s="1">
        <v>0.861500024795532</v>
      </c>
      <c r="BC31" s="1">
        <v>3.7142854000000001</v>
      </c>
      <c r="BD31" s="2">
        <v>47.467125635424999</v>
      </c>
      <c r="BE31" s="2">
        <f t="shared" si="0"/>
        <v>1.6437321241959992</v>
      </c>
      <c r="BF31" s="2">
        <f t="shared" si="1"/>
        <v>3.3469831299657682</v>
      </c>
      <c r="BG31">
        <v>1524</v>
      </c>
      <c r="BH31" s="3">
        <v>187</v>
      </c>
      <c r="BI31">
        <v>13.986537023186237</v>
      </c>
      <c r="BJ31">
        <v>1417</v>
      </c>
      <c r="BK31">
        <v>181</v>
      </c>
      <c r="BL31">
        <v>14.644012944983819</v>
      </c>
      <c r="BM31" s="3">
        <v>121.8</v>
      </c>
      <c r="BN31">
        <v>30.700000000000003</v>
      </c>
      <c r="BO31">
        <v>33.699231613611424</v>
      </c>
      <c r="BP31">
        <v>2062570544.1944699</v>
      </c>
      <c r="BQ31">
        <v>52827589.708600044</v>
      </c>
      <c r="BR31">
        <v>2.6285744448406008</v>
      </c>
      <c r="BS31">
        <v>0.49993520000000002</v>
      </c>
      <c r="BT31">
        <v>2.5779260000000002</v>
      </c>
      <c r="BU31">
        <v>2.1028819706856701</v>
      </c>
    </row>
    <row r="32" spans="1:73" x14ac:dyDescent="0.2">
      <c r="A32">
        <v>31</v>
      </c>
      <c r="B32" t="s">
        <v>60</v>
      </c>
      <c r="C32">
        <v>1994</v>
      </c>
      <c r="D32">
        <v>2</v>
      </c>
      <c r="E32">
        <v>0</v>
      </c>
      <c r="F32" t="s">
        <v>61</v>
      </c>
      <c r="G32">
        <v>0.30237999999999998</v>
      </c>
      <c r="H32">
        <v>0</v>
      </c>
      <c r="I32">
        <v>0.58499999999999996</v>
      </c>
      <c r="J32">
        <v>0.68200000000000005</v>
      </c>
      <c r="K32">
        <v>1.7</v>
      </c>
      <c r="L32">
        <v>1.8360000000000001</v>
      </c>
      <c r="M32">
        <v>0.45400000000000001</v>
      </c>
      <c r="N32">
        <v>0.65600000000000003</v>
      </c>
      <c r="O32">
        <v>0.27800000000000002</v>
      </c>
      <c r="Q32">
        <v>0</v>
      </c>
      <c r="R32">
        <v>3765.2</v>
      </c>
      <c r="S32">
        <v>2.5089999999999999</v>
      </c>
      <c r="T32">
        <v>7.87</v>
      </c>
      <c r="U32">
        <v>3.08</v>
      </c>
      <c r="W32" t="s">
        <v>54</v>
      </c>
      <c r="X32" t="s">
        <v>55</v>
      </c>
      <c r="Y32" t="s">
        <v>62</v>
      </c>
      <c r="Z32">
        <v>0.497</v>
      </c>
      <c r="AA32">
        <v>0.74199999999999999</v>
      </c>
      <c r="AB32">
        <v>130</v>
      </c>
      <c r="AD32">
        <v>59.171720000000001</v>
      </c>
      <c r="AE32">
        <v>-66.193600000000004</v>
      </c>
      <c r="AF32">
        <v>-13.9908</v>
      </c>
      <c r="AG32" t="s">
        <v>63</v>
      </c>
      <c r="AH32" t="s">
        <v>58</v>
      </c>
      <c r="AI32">
        <v>1872.71</v>
      </c>
      <c r="AJ32">
        <v>4.6672650000000004</v>
      </c>
      <c r="AK32">
        <v>14000000000</v>
      </c>
      <c r="AM32">
        <v>59.171720000000001</v>
      </c>
      <c r="AN32">
        <v>-1.5080469999999999</v>
      </c>
      <c r="AO32">
        <v>78.275469999999999</v>
      </c>
      <c r="AP32">
        <v>48.860849999999999</v>
      </c>
      <c r="AQ32">
        <v>2.1768040000000002</v>
      </c>
      <c r="AR32">
        <v>13.567909999999999</v>
      </c>
      <c r="AS32">
        <v>0.39796880000000001</v>
      </c>
      <c r="AT32">
        <v>2.0630579999999998</v>
      </c>
      <c r="AU32">
        <v>7.7284000000000005E-2</v>
      </c>
      <c r="AV32">
        <v>2.0630579999999998</v>
      </c>
      <c r="AW32">
        <v>23.36112</v>
      </c>
      <c r="AX32">
        <v>0.65999980000000003</v>
      </c>
      <c r="AY32">
        <v>2.8442115292996699</v>
      </c>
      <c r="AZ32" s="1">
        <v>0.8125</v>
      </c>
      <c r="BA32" s="1">
        <v>4.9000002443790401E-2</v>
      </c>
      <c r="BB32" s="1">
        <v>0.861500024795532</v>
      </c>
      <c r="BC32" s="1">
        <v>3.7142854000000001</v>
      </c>
      <c r="BD32" s="2">
        <v>48.860850446584998</v>
      </c>
      <c r="BE32" s="2">
        <f t="shared" si="0"/>
        <v>1.3937248111599985</v>
      </c>
      <c r="BF32" s="2">
        <f t="shared" si="1"/>
        <v>2.9361896101832916</v>
      </c>
      <c r="BG32">
        <v>2074</v>
      </c>
      <c r="BH32" s="3">
        <v>550</v>
      </c>
      <c r="BI32">
        <v>36.089238845144358</v>
      </c>
      <c r="BJ32">
        <v>1890</v>
      </c>
      <c r="BK32">
        <v>473</v>
      </c>
      <c r="BL32">
        <v>33.380381086803105</v>
      </c>
      <c r="BM32" s="3">
        <v>128</v>
      </c>
      <c r="BN32">
        <v>6.2000000000000028</v>
      </c>
      <c r="BO32">
        <v>5.0903119868637132</v>
      </c>
      <c r="BP32">
        <v>1897190547.8730199</v>
      </c>
      <c r="BQ32">
        <v>165379996.32145</v>
      </c>
      <c r="BR32">
        <v>8.0181498173212109</v>
      </c>
      <c r="BS32">
        <v>0.1974697</v>
      </c>
      <c r="BT32">
        <v>0.40656829999999999</v>
      </c>
      <c r="BU32">
        <v>2.5094501463145602</v>
      </c>
    </row>
    <row r="33" spans="1:73" x14ac:dyDescent="0.2">
      <c r="A33">
        <v>32</v>
      </c>
      <c r="B33" t="s">
        <v>60</v>
      </c>
      <c r="C33">
        <v>1995</v>
      </c>
      <c r="D33">
        <v>2</v>
      </c>
      <c r="E33">
        <v>0</v>
      </c>
      <c r="F33" t="s">
        <v>61</v>
      </c>
      <c r="G33">
        <v>0.30237999999999998</v>
      </c>
      <c r="H33">
        <v>0</v>
      </c>
      <c r="I33">
        <v>0.58499999999999996</v>
      </c>
      <c r="J33">
        <v>0.68200000000000005</v>
      </c>
      <c r="K33">
        <v>1.7</v>
      </c>
      <c r="L33">
        <v>1.8360000000000001</v>
      </c>
      <c r="M33">
        <v>0.45400000000000001</v>
      </c>
      <c r="N33">
        <v>0.65600000000000003</v>
      </c>
      <c r="O33">
        <v>0.27800000000000002</v>
      </c>
      <c r="Q33">
        <v>0</v>
      </c>
      <c r="R33">
        <v>3865.4</v>
      </c>
      <c r="S33">
        <v>2.5419999999999998</v>
      </c>
      <c r="T33">
        <v>10.19</v>
      </c>
      <c r="U33">
        <v>3.69</v>
      </c>
      <c r="W33" t="s">
        <v>54</v>
      </c>
      <c r="X33" t="s">
        <v>55</v>
      </c>
      <c r="Y33" t="s">
        <v>62</v>
      </c>
      <c r="Z33">
        <v>0.502</v>
      </c>
      <c r="AA33">
        <v>0.749</v>
      </c>
      <c r="AB33">
        <v>130</v>
      </c>
      <c r="AD33">
        <v>57.411380000000001</v>
      </c>
      <c r="AE33">
        <v>-66.193600000000004</v>
      </c>
      <c r="AF33">
        <v>-13.9908</v>
      </c>
      <c r="AG33" t="s">
        <v>63</v>
      </c>
      <c r="AH33" t="s">
        <v>58</v>
      </c>
      <c r="AI33">
        <v>1920.318</v>
      </c>
      <c r="AJ33">
        <v>4.6782769999999996</v>
      </c>
      <c r="AK33">
        <v>14600000000</v>
      </c>
      <c r="AM33">
        <v>57.411380000000001</v>
      </c>
      <c r="AN33">
        <v>-4.5046920000000004</v>
      </c>
      <c r="AO33">
        <v>77.688509999999994</v>
      </c>
      <c r="AP33">
        <v>49.737990000000003</v>
      </c>
      <c r="AQ33">
        <v>5.8479089999999996</v>
      </c>
      <c r="AR33">
        <v>13.572620000000001</v>
      </c>
      <c r="AS33">
        <v>1.10116E-2</v>
      </c>
      <c r="AT33">
        <v>2.3214070000000002</v>
      </c>
      <c r="AU33">
        <v>7.7284000000000005E-2</v>
      </c>
      <c r="AV33">
        <v>2.3214070000000002</v>
      </c>
      <c r="AW33">
        <v>23.406839999999999</v>
      </c>
      <c r="AX33">
        <v>2.3199999999999998</v>
      </c>
      <c r="AY33">
        <v>2.8442115292996699</v>
      </c>
      <c r="AZ33" s="1">
        <v>0.8125</v>
      </c>
      <c r="BA33" s="1">
        <v>4.9000002443790401E-2</v>
      </c>
      <c r="BB33" s="1">
        <v>0.861500024795532</v>
      </c>
      <c r="BC33" s="1">
        <v>3.7142854000000001</v>
      </c>
      <c r="BD33" s="2">
        <v>49.737987188928997</v>
      </c>
      <c r="BE33" s="2">
        <f t="shared" si="0"/>
        <v>0.87713674234399974</v>
      </c>
      <c r="BF33" s="2">
        <f t="shared" si="1"/>
        <v>1.7951728926677022</v>
      </c>
      <c r="BG33">
        <v>2486</v>
      </c>
      <c r="BH33" s="3">
        <v>412</v>
      </c>
      <c r="BI33">
        <v>19.86499517839923</v>
      </c>
      <c r="BJ33">
        <v>2333</v>
      </c>
      <c r="BK33">
        <v>443</v>
      </c>
      <c r="BL33">
        <v>23.43915343915344</v>
      </c>
      <c r="BM33" s="3">
        <v>390.7</v>
      </c>
      <c r="BN33">
        <v>262.7</v>
      </c>
      <c r="BO33">
        <v>205.234375</v>
      </c>
      <c r="BP33">
        <v>2159016322.0125599</v>
      </c>
      <c r="BQ33">
        <v>261825774.13953996</v>
      </c>
      <c r="BR33">
        <v>13.80071044698585</v>
      </c>
      <c r="BS33">
        <v>4.7140000000000003E-3</v>
      </c>
      <c r="BT33">
        <v>3.2752499999999997E-2</v>
      </c>
      <c r="BU33">
        <v>2.5422027254396502</v>
      </c>
    </row>
    <row r="34" spans="1:73" x14ac:dyDescent="0.2">
      <c r="A34">
        <v>33</v>
      </c>
      <c r="B34" t="s">
        <v>60</v>
      </c>
      <c r="C34">
        <v>1996</v>
      </c>
      <c r="D34">
        <v>2</v>
      </c>
      <c r="E34">
        <v>0</v>
      </c>
      <c r="F34" t="s">
        <v>61</v>
      </c>
      <c r="G34">
        <v>0.79703000000000002</v>
      </c>
      <c r="H34">
        <v>0</v>
      </c>
      <c r="I34">
        <v>0.58499999999999996</v>
      </c>
      <c r="J34">
        <v>0.68200000000000005</v>
      </c>
      <c r="K34">
        <v>1.7</v>
      </c>
      <c r="L34">
        <v>1.8360000000000001</v>
      </c>
      <c r="M34">
        <v>0.45400000000000001</v>
      </c>
      <c r="N34">
        <v>0.65600000000000003</v>
      </c>
      <c r="O34">
        <v>0.27800000000000002</v>
      </c>
      <c r="P34">
        <v>4.46</v>
      </c>
      <c r="Q34">
        <v>0</v>
      </c>
      <c r="R34">
        <v>3959.5</v>
      </c>
      <c r="S34">
        <v>2.2559999999999998</v>
      </c>
      <c r="T34">
        <v>12.43</v>
      </c>
      <c r="U34">
        <v>5.23</v>
      </c>
      <c r="W34" t="s">
        <v>54</v>
      </c>
      <c r="X34" t="s">
        <v>55</v>
      </c>
      <c r="Y34" t="s">
        <v>62</v>
      </c>
      <c r="Z34">
        <v>0.502</v>
      </c>
      <c r="AA34">
        <v>0.749</v>
      </c>
      <c r="AB34">
        <v>130</v>
      </c>
      <c r="AD34">
        <v>47.882800000000003</v>
      </c>
      <c r="AE34">
        <v>-66.193600000000004</v>
      </c>
      <c r="AF34">
        <v>-13.9908</v>
      </c>
      <c r="AG34" t="s">
        <v>63</v>
      </c>
      <c r="AH34" t="s">
        <v>58</v>
      </c>
      <c r="AI34">
        <v>1963.6410000000001</v>
      </c>
      <c r="AJ34">
        <v>4.3613419999999996</v>
      </c>
      <c r="AK34">
        <v>15300000000</v>
      </c>
      <c r="AM34">
        <v>47.882800000000003</v>
      </c>
      <c r="AN34">
        <v>-5.1330499999999999</v>
      </c>
      <c r="AO34">
        <v>77.384739999999994</v>
      </c>
      <c r="AP34">
        <v>49.856290000000001</v>
      </c>
      <c r="AQ34">
        <v>6.4093840000000002</v>
      </c>
      <c r="AR34">
        <v>13.32727</v>
      </c>
      <c r="AS34">
        <v>0.31693460000000001</v>
      </c>
      <c r="AT34">
        <v>2.5201129999999998</v>
      </c>
      <c r="AU34">
        <v>7.7284000000000005E-2</v>
      </c>
      <c r="AV34">
        <v>2.5201129999999998</v>
      </c>
      <c r="AW34">
        <v>23.449529999999999</v>
      </c>
      <c r="AX34">
        <v>2.2400009999999999</v>
      </c>
      <c r="AY34">
        <v>2.8442115292996699</v>
      </c>
      <c r="AZ34" s="1">
        <v>0.8125</v>
      </c>
      <c r="BA34" s="1">
        <v>4.9000002443790401E-2</v>
      </c>
      <c r="BB34" s="1">
        <v>0.861500024795532</v>
      </c>
      <c r="BC34" s="1">
        <v>3.7142854000000001</v>
      </c>
      <c r="BD34" s="2">
        <v>49.856291372302003</v>
      </c>
      <c r="BE34" s="2">
        <f t="shared" si="0"/>
        <v>0.11830418337300586</v>
      </c>
      <c r="BF34" s="2">
        <f t="shared" si="1"/>
        <v>0.23785478677218921</v>
      </c>
      <c r="BG34">
        <v>2908</v>
      </c>
      <c r="BH34" s="3">
        <v>422</v>
      </c>
      <c r="BI34">
        <v>16.975060337892195</v>
      </c>
      <c r="BJ34">
        <v>2580</v>
      </c>
      <c r="BK34">
        <v>247</v>
      </c>
      <c r="BL34">
        <v>10.587226746678096</v>
      </c>
      <c r="BM34" s="3">
        <v>472</v>
      </c>
      <c r="BN34">
        <v>81.300000000000011</v>
      </c>
      <c r="BO34">
        <v>20.808804709495778</v>
      </c>
      <c r="BP34">
        <v>2412232463.56915</v>
      </c>
      <c r="BQ34">
        <v>253216141.55659008</v>
      </c>
      <c r="BR34">
        <v>11.728310665134334</v>
      </c>
      <c r="BS34">
        <v>0.24535370000000001</v>
      </c>
      <c r="BT34">
        <v>0.28617999999999999</v>
      </c>
      <c r="BU34">
        <v>2.2560226810226598</v>
      </c>
    </row>
    <row r="35" spans="1:73" x14ac:dyDescent="0.2">
      <c r="A35">
        <v>34</v>
      </c>
      <c r="B35" t="s">
        <v>60</v>
      </c>
      <c r="C35">
        <v>1997</v>
      </c>
      <c r="D35">
        <v>2</v>
      </c>
      <c r="E35">
        <v>1</v>
      </c>
      <c r="F35" t="s">
        <v>61</v>
      </c>
      <c r="G35">
        <v>0.79703000000000002</v>
      </c>
      <c r="H35">
        <v>0</v>
      </c>
      <c r="I35">
        <v>0.99199999999999999</v>
      </c>
      <c r="J35">
        <v>1.05</v>
      </c>
      <c r="K35">
        <v>2.214</v>
      </c>
      <c r="L35">
        <v>2.2770000000000001</v>
      </c>
      <c r="M35">
        <v>0.90700000000000003</v>
      </c>
      <c r="N35">
        <v>0.95099999999999996</v>
      </c>
      <c r="O35">
        <v>9.0999999999999998E-2</v>
      </c>
      <c r="P35">
        <v>4.0709999999999997</v>
      </c>
      <c r="Q35">
        <v>1</v>
      </c>
      <c r="R35">
        <v>4079.5</v>
      </c>
      <c r="S35">
        <v>2.863</v>
      </c>
      <c r="T35">
        <v>4.71</v>
      </c>
      <c r="U35">
        <v>2.08</v>
      </c>
      <c r="V35">
        <v>58.2</v>
      </c>
      <c r="W35" t="s">
        <v>64</v>
      </c>
      <c r="X35" t="s">
        <v>65</v>
      </c>
      <c r="Y35" t="s">
        <v>62</v>
      </c>
      <c r="Z35">
        <v>0.52900000000000003</v>
      </c>
      <c r="AA35">
        <v>0.754</v>
      </c>
      <c r="AB35">
        <v>130</v>
      </c>
      <c r="AC35">
        <v>3.8</v>
      </c>
      <c r="AD35">
        <v>46.53651</v>
      </c>
      <c r="AE35">
        <v>-66.193600000000004</v>
      </c>
      <c r="AF35">
        <v>-13.9908</v>
      </c>
      <c r="AG35" t="s">
        <v>63</v>
      </c>
      <c r="AH35" t="s">
        <v>58</v>
      </c>
      <c r="AI35">
        <v>2019.8520000000001</v>
      </c>
      <c r="AJ35">
        <v>4.9542089999999996</v>
      </c>
      <c r="AK35">
        <v>16000000000</v>
      </c>
      <c r="AM35">
        <v>46.53651</v>
      </c>
      <c r="AN35">
        <v>-6.9836340000000003</v>
      </c>
      <c r="AO35">
        <v>77.018820000000005</v>
      </c>
      <c r="AP35">
        <v>50.469659999999998</v>
      </c>
      <c r="AQ35">
        <v>9.2181440000000006</v>
      </c>
      <c r="AR35">
        <v>13.90353</v>
      </c>
      <c r="AS35">
        <v>0.59286689999999997</v>
      </c>
      <c r="AT35">
        <v>1.549688</v>
      </c>
      <c r="AU35">
        <v>8.2810000000000002E-3</v>
      </c>
      <c r="AV35">
        <v>1.549688</v>
      </c>
      <c r="AW35">
        <v>23.497879999999999</v>
      </c>
      <c r="AX35">
        <v>7.72</v>
      </c>
      <c r="AY35">
        <v>2.6957281245037299</v>
      </c>
      <c r="AZ35" s="1">
        <v>0.50800001621246305</v>
      </c>
      <c r="BA35" s="1">
        <v>0.125499993562698</v>
      </c>
      <c r="BB35" s="1">
        <v>0.63349997997283902</v>
      </c>
      <c r="BC35" s="1">
        <v>5.361675</v>
      </c>
      <c r="BD35" s="2">
        <v>50.469662689003002</v>
      </c>
      <c r="BE35" s="2">
        <f t="shared" si="0"/>
        <v>0.61337131670099865</v>
      </c>
      <c r="BF35" s="2">
        <f t="shared" si="1"/>
        <v>1.2302786665792016</v>
      </c>
      <c r="BG35">
        <v>3484</v>
      </c>
      <c r="BH35" s="3">
        <v>576</v>
      </c>
      <c r="BI35">
        <v>19.807427785419531</v>
      </c>
      <c r="BJ35">
        <v>3061</v>
      </c>
      <c r="BK35">
        <v>481</v>
      </c>
      <c r="BL35">
        <v>18.643410852713178</v>
      </c>
      <c r="BM35" s="3">
        <v>728.2</v>
      </c>
      <c r="BN35">
        <v>256.20000000000005</v>
      </c>
      <c r="BO35">
        <v>54.279661016949163</v>
      </c>
      <c r="BP35">
        <v>3057819002.1016502</v>
      </c>
      <c r="BQ35">
        <v>645586538.53250027</v>
      </c>
      <c r="BR35">
        <v>26.763031684653129</v>
      </c>
      <c r="BS35">
        <v>0.57626250000000001</v>
      </c>
      <c r="BT35">
        <v>0.60656019999999999</v>
      </c>
      <c r="BU35">
        <v>2.8625829393532598</v>
      </c>
    </row>
    <row r="36" spans="1:73" x14ac:dyDescent="0.2">
      <c r="A36">
        <v>35</v>
      </c>
      <c r="B36" t="s">
        <v>60</v>
      </c>
      <c r="C36">
        <v>1998</v>
      </c>
      <c r="D36">
        <v>2</v>
      </c>
      <c r="E36">
        <v>0</v>
      </c>
      <c r="F36" t="s">
        <v>61</v>
      </c>
      <c r="G36">
        <v>0.79703000000000002</v>
      </c>
      <c r="H36">
        <v>0</v>
      </c>
      <c r="I36">
        <v>0.99199999999999999</v>
      </c>
      <c r="J36">
        <v>1.05</v>
      </c>
      <c r="K36">
        <v>2.214</v>
      </c>
      <c r="L36">
        <v>2.2770000000000001</v>
      </c>
      <c r="M36">
        <v>0.90700000000000003</v>
      </c>
      <c r="N36">
        <v>0.95099999999999996</v>
      </c>
      <c r="O36">
        <v>9.0999999999999998E-2</v>
      </c>
      <c r="P36">
        <v>4.5880000000000001</v>
      </c>
      <c r="Q36">
        <v>0</v>
      </c>
      <c r="R36">
        <v>4205.7</v>
      </c>
      <c r="S36">
        <v>2.9630000000000001</v>
      </c>
      <c r="T36">
        <v>7.67</v>
      </c>
      <c r="W36" t="s">
        <v>64</v>
      </c>
      <c r="X36" t="s">
        <v>65</v>
      </c>
      <c r="Y36" t="s">
        <v>62</v>
      </c>
      <c r="Z36">
        <v>0.53</v>
      </c>
      <c r="AA36">
        <v>0.75600000000000001</v>
      </c>
      <c r="AB36">
        <v>130</v>
      </c>
      <c r="AC36">
        <v>3.8</v>
      </c>
      <c r="AD36">
        <v>47.075189999999999</v>
      </c>
      <c r="AE36">
        <v>-66.193600000000004</v>
      </c>
      <c r="AF36">
        <v>-13.9908</v>
      </c>
      <c r="AG36" t="s">
        <v>63</v>
      </c>
      <c r="AH36" t="s">
        <v>58</v>
      </c>
      <c r="AI36">
        <v>2079.6970000000001</v>
      </c>
      <c r="AJ36">
        <v>5.0293549999999998</v>
      </c>
      <c r="AK36">
        <v>16800000000</v>
      </c>
      <c r="AM36">
        <v>47.075189999999999</v>
      </c>
      <c r="AN36">
        <v>-7.8387339999999996</v>
      </c>
      <c r="AO36">
        <v>76.579059999999998</v>
      </c>
      <c r="AP36">
        <v>52.28116</v>
      </c>
      <c r="AQ36">
        <v>11.17146</v>
      </c>
      <c r="AR36">
        <v>14.218870000000001</v>
      </c>
      <c r="AS36">
        <v>7.5145699999999996E-2</v>
      </c>
      <c r="AT36">
        <v>2.0373169999999998</v>
      </c>
      <c r="AU36">
        <v>8.2810000000000002E-3</v>
      </c>
      <c r="AV36">
        <v>2.0373169999999998</v>
      </c>
      <c r="AW36">
        <v>23.546949999999999</v>
      </c>
      <c r="AX36">
        <v>2.96</v>
      </c>
      <c r="AY36">
        <v>2.6957281245037299</v>
      </c>
      <c r="AZ36" s="1">
        <v>0.50800001621246305</v>
      </c>
      <c r="BA36" s="1">
        <v>0.125499993562698</v>
      </c>
      <c r="BB36" s="1">
        <v>0.63349997997283902</v>
      </c>
      <c r="BC36" s="1">
        <v>5.361675</v>
      </c>
      <c r="BD36" s="2">
        <v>52.281163102797002</v>
      </c>
      <c r="BE36" s="2">
        <f t="shared" si="0"/>
        <v>1.8115004137940005</v>
      </c>
      <c r="BF36" s="2">
        <f t="shared" si="1"/>
        <v>3.5892857555965283</v>
      </c>
      <c r="BG36">
        <v>3728</v>
      </c>
      <c r="BH36" s="3">
        <v>244</v>
      </c>
      <c r="BI36">
        <v>7.003444316877153</v>
      </c>
      <c r="BJ36">
        <v>3276</v>
      </c>
      <c r="BK36">
        <v>215</v>
      </c>
      <c r="BL36">
        <v>7.0238484155504741</v>
      </c>
      <c r="BM36" s="3">
        <v>946.5</v>
      </c>
      <c r="BN36">
        <v>218.29999999999995</v>
      </c>
      <c r="BO36">
        <v>29.978028014281783</v>
      </c>
      <c r="BP36">
        <v>3951214441.8323302</v>
      </c>
      <c r="BQ36">
        <v>893395439.73067999</v>
      </c>
      <c r="BR36">
        <v>29.216753480720932</v>
      </c>
      <c r="BS36">
        <v>0.31534190000000001</v>
      </c>
      <c r="BT36">
        <v>0.10026450000000001</v>
      </c>
      <c r="BU36">
        <v>2.9628473647126001</v>
      </c>
    </row>
    <row r="37" spans="1:73" x14ac:dyDescent="0.2">
      <c r="A37">
        <v>36</v>
      </c>
      <c r="B37" t="s">
        <v>60</v>
      </c>
      <c r="C37">
        <v>1999</v>
      </c>
      <c r="D37">
        <v>2</v>
      </c>
      <c r="E37">
        <v>0</v>
      </c>
      <c r="F37" t="s">
        <v>61</v>
      </c>
      <c r="G37">
        <v>0.79703000000000002</v>
      </c>
      <c r="H37">
        <v>0</v>
      </c>
      <c r="I37">
        <v>0.99199999999999999</v>
      </c>
      <c r="J37">
        <v>1.05</v>
      </c>
      <c r="K37">
        <v>2.214</v>
      </c>
      <c r="L37">
        <v>2.2770000000000001</v>
      </c>
      <c r="M37">
        <v>0.90700000000000003</v>
      </c>
      <c r="N37">
        <v>0.95099999999999996</v>
      </c>
      <c r="O37">
        <v>9.0999999999999998E-2</v>
      </c>
      <c r="P37">
        <v>4.5880000000000001</v>
      </c>
      <c r="Q37">
        <v>0</v>
      </c>
      <c r="R37">
        <v>4146.5</v>
      </c>
      <c r="S37">
        <v>-1.5229999999999999</v>
      </c>
      <c r="T37">
        <v>2.16</v>
      </c>
      <c r="U37">
        <v>3.93</v>
      </c>
      <c r="V37">
        <v>58.1</v>
      </c>
      <c r="W37" t="s">
        <v>64</v>
      </c>
      <c r="X37" t="s">
        <v>65</v>
      </c>
      <c r="Y37" t="s">
        <v>62</v>
      </c>
      <c r="Z37">
        <v>0.53600000000000003</v>
      </c>
      <c r="AA37">
        <v>0.76100000000000001</v>
      </c>
      <c r="AB37">
        <v>130</v>
      </c>
      <c r="AC37">
        <v>3.8</v>
      </c>
      <c r="AD37">
        <v>56.257579999999997</v>
      </c>
      <c r="AE37">
        <v>-66.193600000000004</v>
      </c>
      <c r="AF37">
        <v>-13.9908</v>
      </c>
      <c r="AG37" t="s">
        <v>63</v>
      </c>
      <c r="AH37" t="s">
        <v>58</v>
      </c>
      <c r="AI37">
        <v>2048.0259999999998</v>
      </c>
      <c r="AJ37">
        <v>0.42688540000000003</v>
      </c>
      <c r="AK37">
        <v>16900000000</v>
      </c>
      <c r="AM37">
        <v>56.257579999999997</v>
      </c>
      <c r="AN37">
        <v>-5.8901089999999998</v>
      </c>
      <c r="AO37">
        <v>76.036950000000004</v>
      </c>
      <c r="AP37">
        <v>44.16825</v>
      </c>
      <c r="AQ37">
        <v>12.196630000000001</v>
      </c>
      <c r="AR37">
        <v>14.797890000000001</v>
      </c>
      <c r="AS37">
        <v>4.6024690000000001</v>
      </c>
      <c r="AT37">
        <v>0.77010829999999997</v>
      </c>
      <c r="AU37">
        <v>8.2810000000000002E-3</v>
      </c>
      <c r="AV37">
        <v>0.77010829999999997</v>
      </c>
      <c r="AW37">
        <v>23.551210000000001</v>
      </c>
      <c r="AX37">
        <v>5.51</v>
      </c>
      <c r="AY37">
        <v>2.6957281245037299</v>
      </c>
      <c r="AZ37" s="1">
        <v>0.50800001621246305</v>
      </c>
      <c r="BA37" s="1">
        <v>0.125499993562698</v>
      </c>
      <c r="BB37" s="1">
        <v>0.63349997997283902</v>
      </c>
      <c r="BC37" s="1">
        <v>5.361675</v>
      </c>
      <c r="BD37" s="2">
        <v>44.168256462252998</v>
      </c>
      <c r="BE37" s="2">
        <f t="shared" si="0"/>
        <v>8.1129066405440042</v>
      </c>
      <c r="BF37" s="2">
        <f t="shared" si="1"/>
        <v>15.517838852575125</v>
      </c>
      <c r="BG37">
        <v>3609</v>
      </c>
      <c r="BH37" s="3">
        <v>119</v>
      </c>
      <c r="BI37">
        <v>3.1920600858369097</v>
      </c>
      <c r="BJ37">
        <v>3153</v>
      </c>
      <c r="BK37">
        <v>123</v>
      </c>
      <c r="BL37">
        <v>3.7545787545787546</v>
      </c>
      <c r="BM37" s="3">
        <v>1007.7</v>
      </c>
      <c r="BN37">
        <v>61.200000000000045</v>
      </c>
      <c r="BO37">
        <v>6.4659270998415259</v>
      </c>
      <c r="BP37">
        <v>3347619345.1214299</v>
      </c>
      <c r="BQ37">
        <v>603595096.71090031</v>
      </c>
      <c r="BR37">
        <v>15.276191803727817</v>
      </c>
      <c r="BS37">
        <v>0.57902149999999997</v>
      </c>
      <c r="BT37">
        <v>4.4856780000000001</v>
      </c>
      <c r="BU37">
        <v>-1.5228303563171399</v>
      </c>
    </row>
    <row r="38" spans="1:73" x14ac:dyDescent="0.2">
      <c r="A38">
        <v>37</v>
      </c>
      <c r="B38" t="s">
        <v>60</v>
      </c>
      <c r="C38">
        <v>2000</v>
      </c>
      <c r="D38">
        <v>2</v>
      </c>
      <c r="E38">
        <v>0</v>
      </c>
      <c r="F38" t="s">
        <v>61</v>
      </c>
      <c r="G38">
        <v>0.79703000000000002</v>
      </c>
      <c r="H38">
        <v>0</v>
      </c>
      <c r="I38">
        <v>0.99199999999999999</v>
      </c>
      <c r="J38">
        <v>1.05</v>
      </c>
      <c r="K38">
        <v>2.214</v>
      </c>
      <c r="L38">
        <v>2.2770000000000001</v>
      </c>
      <c r="M38">
        <v>0.90700000000000003</v>
      </c>
      <c r="N38">
        <v>0.95099999999999996</v>
      </c>
      <c r="O38">
        <v>9.0999999999999998E-2</v>
      </c>
      <c r="P38">
        <v>3.7810000000000001</v>
      </c>
      <c r="Q38">
        <v>0</v>
      </c>
      <c r="R38">
        <v>4173.6000000000004</v>
      </c>
      <c r="S38">
        <v>0.54500000000000004</v>
      </c>
      <c r="T38">
        <v>4.6100000000000003</v>
      </c>
      <c r="U38">
        <v>4.47</v>
      </c>
      <c r="V38">
        <v>61.6</v>
      </c>
      <c r="W38" t="s">
        <v>64</v>
      </c>
      <c r="X38" t="s">
        <v>65</v>
      </c>
      <c r="Y38" t="s">
        <v>62</v>
      </c>
      <c r="Z38">
        <v>0.54</v>
      </c>
      <c r="AA38">
        <v>0.76100000000000001</v>
      </c>
      <c r="AB38">
        <v>130</v>
      </c>
      <c r="AC38">
        <v>3.8</v>
      </c>
      <c r="AD38">
        <v>60.109200000000001</v>
      </c>
      <c r="AE38">
        <v>-66.193600000000004</v>
      </c>
      <c r="AF38">
        <v>-13.9908</v>
      </c>
      <c r="AG38" t="s">
        <v>63</v>
      </c>
      <c r="AH38" t="s">
        <v>58</v>
      </c>
      <c r="AI38">
        <v>2059.1849999999999</v>
      </c>
      <c r="AJ38">
        <v>2.5078109999999998</v>
      </c>
      <c r="AK38">
        <v>17300000000</v>
      </c>
      <c r="AM38">
        <v>60.109200000000001</v>
      </c>
      <c r="AN38">
        <v>-5.31501</v>
      </c>
      <c r="AO38">
        <v>75.390429999999995</v>
      </c>
      <c r="AP38">
        <v>45.597769999999997</v>
      </c>
      <c r="AQ38">
        <v>8.7682500000000001</v>
      </c>
      <c r="AR38">
        <v>14.539300000000001</v>
      </c>
      <c r="AS38">
        <v>2.0809250000000001</v>
      </c>
      <c r="AT38">
        <v>1.5282279999999999</v>
      </c>
      <c r="AU38">
        <v>8.2810000000000002E-3</v>
      </c>
      <c r="AV38">
        <v>1.5282279999999999</v>
      </c>
      <c r="AW38">
        <v>23.575980000000001</v>
      </c>
      <c r="AX38">
        <v>2.4500000000000002</v>
      </c>
      <c r="AY38">
        <v>2.6957281245037299</v>
      </c>
      <c r="AZ38" s="1">
        <v>0.50800001621246305</v>
      </c>
      <c r="BA38" s="1">
        <v>0.125499993562698</v>
      </c>
      <c r="BB38" s="1">
        <v>0.63349997997283902</v>
      </c>
      <c r="BC38" s="1">
        <v>5.361675</v>
      </c>
      <c r="BD38" s="2">
        <v>45.597774959859002</v>
      </c>
      <c r="BE38" s="2">
        <f t="shared" si="0"/>
        <v>1.4295184976060042</v>
      </c>
      <c r="BF38" s="2">
        <f t="shared" si="1"/>
        <v>3.2365291548868291</v>
      </c>
      <c r="BG38">
        <v>3749</v>
      </c>
      <c r="BH38" s="3">
        <v>140</v>
      </c>
      <c r="BI38">
        <v>3.8791909116098644</v>
      </c>
      <c r="BJ38">
        <v>3287</v>
      </c>
      <c r="BK38">
        <v>134</v>
      </c>
      <c r="BL38">
        <v>4.2499207104345071</v>
      </c>
      <c r="BM38" s="3">
        <v>733.55</v>
      </c>
      <c r="BN38">
        <v>274.15000000000009</v>
      </c>
      <c r="BO38">
        <v>27.205517515133479</v>
      </c>
      <c r="BP38">
        <v>3049717344.28688</v>
      </c>
      <c r="BQ38">
        <v>297902000.8345499</v>
      </c>
      <c r="BR38">
        <v>8.8989209979530681</v>
      </c>
      <c r="BS38">
        <v>0.25859260000000001</v>
      </c>
      <c r="BT38">
        <v>2.067688</v>
      </c>
      <c r="BU38">
        <v>0.54485771606084699</v>
      </c>
    </row>
    <row r="39" spans="1:73" x14ac:dyDescent="0.2">
      <c r="A39">
        <v>38</v>
      </c>
      <c r="B39" t="s">
        <v>60</v>
      </c>
      <c r="C39">
        <v>2001</v>
      </c>
      <c r="D39">
        <v>2</v>
      </c>
      <c r="E39">
        <v>0</v>
      </c>
      <c r="F39" t="s">
        <v>61</v>
      </c>
      <c r="G39">
        <v>0.79703000000000002</v>
      </c>
      <c r="H39">
        <v>0</v>
      </c>
      <c r="I39">
        <v>0.99199999999999999</v>
      </c>
      <c r="J39">
        <v>1.05</v>
      </c>
      <c r="K39">
        <v>2.214</v>
      </c>
      <c r="L39">
        <v>2.2770000000000001</v>
      </c>
      <c r="M39">
        <v>0.90700000000000003</v>
      </c>
      <c r="N39">
        <v>0.95099999999999996</v>
      </c>
      <c r="O39">
        <v>9.0999999999999998E-2</v>
      </c>
      <c r="P39">
        <v>4.0460000000000003</v>
      </c>
      <c r="Q39">
        <v>0</v>
      </c>
      <c r="R39">
        <v>4166.5</v>
      </c>
      <c r="S39">
        <v>-0.23599999999999999</v>
      </c>
      <c r="T39">
        <v>1.59</v>
      </c>
      <c r="U39">
        <v>5.24</v>
      </c>
      <c r="V39">
        <v>57.4</v>
      </c>
      <c r="W39" t="s">
        <v>64</v>
      </c>
      <c r="X39" t="s">
        <v>65</v>
      </c>
      <c r="Y39" t="s">
        <v>62</v>
      </c>
      <c r="Z39">
        <v>0.54</v>
      </c>
      <c r="AA39">
        <v>0.76</v>
      </c>
      <c r="AB39">
        <v>130</v>
      </c>
      <c r="AC39">
        <v>3.8</v>
      </c>
      <c r="AD39">
        <v>68.339849999999998</v>
      </c>
      <c r="AE39">
        <v>-66.193600000000004</v>
      </c>
      <c r="AF39">
        <v>-13.9908</v>
      </c>
      <c r="AG39" t="s">
        <v>63</v>
      </c>
      <c r="AH39" t="s">
        <v>58</v>
      </c>
      <c r="AI39">
        <v>2054.3310000000001</v>
      </c>
      <c r="AJ39">
        <v>1.683799</v>
      </c>
      <c r="AK39">
        <v>17600000000</v>
      </c>
      <c r="AM39">
        <v>68.339849999999998</v>
      </c>
      <c r="AN39">
        <v>-3.365599</v>
      </c>
      <c r="AO39">
        <v>74.886110000000002</v>
      </c>
      <c r="AP39">
        <v>45.227820000000001</v>
      </c>
      <c r="AQ39">
        <v>8.6685829999999999</v>
      </c>
      <c r="AR39">
        <v>15.724130000000001</v>
      </c>
      <c r="AS39">
        <v>0.82401170000000001</v>
      </c>
      <c r="AT39">
        <v>0.46373399999999998</v>
      </c>
      <c r="AU39">
        <v>8.2810000000000002E-3</v>
      </c>
      <c r="AV39">
        <v>0.46373399999999998</v>
      </c>
      <c r="AW39">
        <v>23.592680000000001</v>
      </c>
      <c r="AX39">
        <v>3.02</v>
      </c>
      <c r="AY39">
        <v>2.6957281245037299</v>
      </c>
      <c r="AZ39" s="1">
        <v>0.50800001621246305</v>
      </c>
      <c r="BA39" s="1">
        <v>0.125499993562698</v>
      </c>
      <c r="BB39" s="1">
        <v>0.63349997997283902</v>
      </c>
      <c r="BC39" s="1">
        <v>5.361675</v>
      </c>
      <c r="BD39" s="2">
        <v>45.227822614159003</v>
      </c>
      <c r="BE39" s="2">
        <f t="shared" si="0"/>
        <v>0.3699523456999998</v>
      </c>
      <c r="BF39" s="2">
        <f t="shared" si="1"/>
        <v>0.81133859278370313</v>
      </c>
      <c r="BG39">
        <v>4249</v>
      </c>
      <c r="BH39" s="3">
        <v>500</v>
      </c>
      <c r="BI39">
        <v>13.336889837289943</v>
      </c>
      <c r="BJ39">
        <v>3709</v>
      </c>
      <c r="BK39">
        <v>422</v>
      </c>
      <c r="BL39">
        <v>12.838454517797384</v>
      </c>
      <c r="BM39" s="3">
        <v>703.17600000000004</v>
      </c>
      <c r="BN39">
        <v>30.37399999999991</v>
      </c>
      <c r="BO39">
        <v>4.1406857064957965</v>
      </c>
      <c r="BP39">
        <v>2395582214.01652</v>
      </c>
      <c r="BQ39">
        <v>654135130.27035999</v>
      </c>
      <c r="BR39">
        <v>21.449041220025503</v>
      </c>
      <c r="BS39">
        <v>1.184831</v>
      </c>
      <c r="BT39">
        <v>0.78059979999999995</v>
      </c>
      <c r="BU39">
        <v>-0.23574205131140499</v>
      </c>
    </row>
    <row r="40" spans="1:73" x14ac:dyDescent="0.2">
      <c r="A40">
        <v>39</v>
      </c>
      <c r="B40" t="s">
        <v>60</v>
      </c>
      <c r="C40">
        <v>2002</v>
      </c>
      <c r="D40">
        <v>2</v>
      </c>
      <c r="E40">
        <v>1</v>
      </c>
      <c r="F40" t="s">
        <v>61</v>
      </c>
      <c r="G40">
        <v>0.79703000000000002</v>
      </c>
      <c r="H40">
        <v>0</v>
      </c>
      <c r="I40">
        <v>1.585</v>
      </c>
      <c r="J40">
        <v>1.651</v>
      </c>
      <c r="K40">
        <v>2.798</v>
      </c>
      <c r="L40">
        <v>2.855</v>
      </c>
      <c r="M40">
        <v>0.995</v>
      </c>
      <c r="N40">
        <v>1.014</v>
      </c>
      <c r="O40">
        <v>0.29099999999999998</v>
      </c>
      <c r="P40">
        <v>4.9969999999999999</v>
      </c>
      <c r="Q40">
        <v>1</v>
      </c>
      <c r="R40">
        <v>4193.8</v>
      </c>
      <c r="S40">
        <v>0.57999999999999996</v>
      </c>
      <c r="T40">
        <v>0.93</v>
      </c>
      <c r="U40">
        <v>5.48</v>
      </c>
      <c r="V40">
        <v>59.3</v>
      </c>
      <c r="W40" t="s">
        <v>64</v>
      </c>
      <c r="X40" t="s">
        <v>65</v>
      </c>
      <c r="Y40" t="s">
        <v>62</v>
      </c>
      <c r="Z40">
        <v>0.53</v>
      </c>
      <c r="AA40">
        <v>0.747</v>
      </c>
      <c r="AB40">
        <v>130</v>
      </c>
      <c r="AC40">
        <v>1.69</v>
      </c>
      <c r="AE40">
        <v>-66.193600000000004</v>
      </c>
      <c r="AF40">
        <v>-13.9908</v>
      </c>
      <c r="AG40" t="s">
        <v>63</v>
      </c>
      <c r="AH40" t="s">
        <v>58</v>
      </c>
      <c r="AI40">
        <v>2066.2420000000002</v>
      </c>
      <c r="AJ40">
        <v>2.4855659999999999</v>
      </c>
      <c r="AK40">
        <v>18100000000</v>
      </c>
      <c r="AN40">
        <v>-4.4517559999999996</v>
      </c>
      <c r="AO40">
        <v>74.294439999999994</v>
      </c>
      <c r="AP40">
        <v>49.350259999999999</v>
      </c>
      <c r="AQ40">
        <v>8.5578939999999992</v>
      </c>
      <c r="AR40">
        <v>15.967890000000001</v>
      </c>
      <c r="AS40">
        <v>0.80176650000000005</v>
      </c>
      <c r="AT40">
        <v>-7.2570700000000002E-2</v>
      </c>
      <c r="AU40">
        <v>8.4681000000000006E-2</v>
      </c>
      <c r="AV40">
        <v>-7.2570700000000002E-2</v>
      </c>
      <c r="AW40">
        <v>23.617229999999999</v>
      </c>
      <c r="AX40">
        <v>0.66</v>
      </c>
      <c r="AY40">
        <v>2.8545339050341401</v>
      </c>
      <c r="AZ40" s="1">
        <v>0.91250002384185802</v>
      </c>
      <c r="BA40" s="1">
        <v>8.3999998867511805E-2</v>
      </c>
      <c r="BB40" s="1">
        <v>0.99650001525878895</v>
      </c>
      <c r="BC40" s="1">
        <v>4.964747</v>
      </c>
      <c r="BD40" s="2">
        <v>49.350260357023998</v>
      </c>
      <c r="BE40" s="2">
        <f t="shared" si="0"/>
        <v>4.1224377428649959</v>
      </c>
      <c r="BF40" s="2">
        <f t="shared" si="1"/>
        <v>9.1148269020901918</v>
      </c>
      <c r="BG40">
        <v>4346</v>
      </c>
      <c r="BH40" s="3">
        <v>97</v>
      </c>
      <c r="BI40">
        <v>2.2828900917863026</v>
      </c>
      <c r="BJ40">
        <v>3908</v>
      </c>
      <c r="BK40">
        <v>199</v>
      </c>
      <c r="BL40">
        <v>5.3653275815583719</v>
      </c>
      <c r="BM40" s="3">
        <v>673.94299999999998</v>
      </c>
      <c r="BN40">
        <v>29.233000000000061</v>
      </c>
      <c r="BO40">
        <v>4.1572806807968501</v>
      </c>
      <c r="BP40">
        <v>2838952470.0529299</v>
      </c>
      <c r="BQ40">
        <v>443370256.03640985</v>
      </c>
      <c r="BR40">
        <v>18.507828846042365</v>
      </c>
      <c r="BS40">
        <v>0.24375920000000001</v>
      </c>
      <c r="BT40">
        <v>0.81552740000000001</v>
      </c>
      <c r="BU40">
        <v>0.57978539522966299</v>
      </c>
    </row>
    <row r="41" spans="1:73" x14ac:dyDescent="0.2">
      <c r="A41">
        <v>40</v>
      </c>
      <c r="B41" t="s">
        <v>60</v>
      </c>
      <c r="C41">
        <v>2003</v>
      </c>
      <c r="D41">
        <v>2</v>
      </c>
      <c r="E41">
        <v>0</v>
      </c>
      <c r="F41" t="s">
        <v>61</v>
      </c>
      <c r="G41">
        <v>0.79703000000000002</v>
      </c>
      <c r="H41">
        <v>1</v>
      </c>
      <c r="I41">
        <v>1.585</v>
      </c>
      <c r="J41">
        <v>1.651</v>
      </c>
      <c r="K41">
        <v>2.798</v>
      </c>
      <c r="L41">
        <v>2.855</v>
      </c>
      <c r="M41">
        <v>0.995</v>
      </c>
      <c r="N41">
        <v>1.014</v>
      </c>
      <c r="O41">
        <v>0.90200000000000002</v>
      </c>
      <c r="P41">
        <v>4.6470000000000002</v>
      </c>
      <c r="Q41">
        <v>0</v>
      </c>
      <c r="R41">
        <v>4230.3999999999996</v>
      </c>
      <c r="S41">
        <v>0.83099999999999996</v>
      </c>
      <c r="T41">
        <v>3.34</v>
      </c>
      <c r="W41" t="s">
        <v>64</v>
      </c>
      <c r="X41" t="s">
        <v>65</v>
      </c>
      <c r="Y41" t="s">
        <v>62</v>
      </c>
      <c r="Z41">
        <v>0.53300000000000003</v>
      </c>
      <c r="AA41">
        <v>0.73899999999999999</v>
      </c>
      <c r="AB41">
        <v>130</v>
      </c>
      <c r="AC41">
        <v>1.69</v>
      </c>
      <c r="AE41">
        <v>-66.193600000000004</v>
      </c>
      <c r="AF41">
        <v>-13.9908</v>
      </c>
      <c r="AG41" t="s">
        <v>63</v>
      </c>
      <c r="AH41" t="s">
        <v>58</v>
      </c>
      <c r="AI41">
        <v>2083.422</v>
      </c>
      <c r="AJ41">
        <v>2.7113399999999999</v>
      </c>
      <c r="AK41">
        <v>18600000000</v>
      </c>
      <c r="AN41">
        <v>0.93530650000000004</v>
      </c>
      <c r="AO41">
        <v>73.640640000000005</v>
      </c>
      <c r="AP41">
        <v>51.967840000000002</v>
      </c>
      <c r="AQ41">
        <v>2.4423539999999999</v>
      </c>
      <c r="AR41">
        <v>16.521139999999999</v>
      </c>
      <c r="AS41">
        <v>0.22577430000000001</v>
      </c>
      <c r="AT41">
        <v>1.2059709999999999</v>
      </c>
      <c r="AU41">
        <v>0.81360399999999999</v>
      </c>
      <c r="AV41">
        <v>1.2059709999999999</v>
      </c>
      <c r="AW41">
        <v>23.643979999999999</v>
      </c>
      <c r="AX41">
        <v>2.41</v>
      </c>
      <c r="AY41">
        <v>3.33968556455455</v>
      </c>
      <c r="AZ41" s="1">
        <v>0.91250002384185802</v>
      </c>
      <c r="BA41" s="1">
        <v>8.3999998867511805E-2</v>
      </c>
      <c r="BB41" s="1">
        <v>0.99650001525878895</v>
      </c>
      <c r="BC41" s="1">
        <v>4.964747</v>
      </c>
      <c r="BD41" s="2">
        <v>51.967836338094003</v>
      </c>
      <c r="BE41" s="2">
        <f t="shared" si="0"/>
        <v>2.6175759810700043</v>
      </c>
      <c r="BF41" s="2">
        <f t="shared" si="1"/>
        <v>5.3040773485958841</v>
      </c>
      <c r="BG41">
        <v>5120</v>
      </c>
      <c r="BH41" s="3">
        <v>774</v>
      </c>
      <c r="BI41">
        <v>17.809479981592268</v>
      </c>
      <c r="BJ41">
        <v>4532</v>
      </c>
      <c r="BK41">
        <v>624</v>
      </c>
      <c r="BL41">
        <v>15.967246673490276</v>
      </c>
      <c r="BM41" s="3">
        <v>194.62</v>
      </c>
      <c r="BN41">
        <v>479.32299999999998</v>
      </c>
      <c r="BO41">
        <v>71.122186891176256</v>
      </c>
      <c r="BP41">
        <v>2531050332.3968801</v>
      </c>
      <c r="BQ41">
        <v>307902137.65604973</v>
      </c>
      <c r="BR41">
        <v>10.845624958642198</v>
      </c>
      <c r="BS41">
        <v>0.5532513</v>
      </c>
      <c r="BT41">
        <v>0.251689</v>
      </c>
      <c r="BU41">
        <v>0.83147442643787906</v>
      </c>
    </row>
    <row r="42" spans="1:73" x14ac:dyDescent="0.2">
      <c r="A42">
        <v>41</v>
      </c>
      <c r="B42" t="s">
        <v>60</v>
      </c>
      <c r="C42">
        <v>2004</v>
      </c>
      <c r="D42">
        <v>2</v>
      </c>
      <c r="E42">
        <v>0</v>
      </c>
      <c r="F42" t="s">
        <v>61</v>
      </c>
      <c r="G42">
        <v>0.79703000000000002</v>
      </c>
      <c r="H42">
        <v>0</v>
      </c>
      <c r="I42">
        <v>1.585</v>
      </c>
      <c r="J42">
        <v>1.651</v>
      </c>
      <c r="K42">
        <v>2.798</v>
      </c>
      <c r="L42">
        <v>2.855</v>
      </c>
      <c r="M42">
        <v>0.995</v>
      </c>
      <c r="N42">
        <v>1.014</v>
      </c>
      <c r="O42">
        <v>0.90200000000000002</v>
      </c>
      <c r="P42">
        <v>3.387</v>
      </c>
      <c r="Q42">
        <v>0</v>
      </c>
      <c r="R42">
        <v>4330.6000000000004</v>
      </c>
      <c r="S42">
        <v>2.298</v>
      </c>
      <c r="T42">
        <v>4.4400000000000004</v>
      </c>
      <c r="U42">
        <v>4.17</v>
      </c>
      <c r="V42">
        <v>55</v>
      </c>
      <c r="W42" t="s">
        <v>64</v>
      </c>
      <c r="X42" t="s">
        <v>65</v>
      </c>
      <c r="Y42" t="s">
        <v>62</v>
      </c>
      <c r="Z42">
        <v>0.55100000000000005</v>
      </c>
      <c r="AA42">
        <v>0.76700000000000002</v>
      </c>
      <c r="AB42">
        <v>130</v>
      </c>
      <c r="AC42">
        <v>1.69</v>
      </c>
      <c r="AE42">
        <v>-66.193600000000004</v>
      </c>
      <c r="AF42">
        <v>-13.9908</v>
      </c>
      <c r="AG42" t="s">
        <v>63</v>
      </c>
      <c r="AH42" t="s">
        <v>58</v>
      </c>
      <c r="AI42">
        <v>2131.3069999999998</v>
      </c>
      <c r="AJ42">
        <v>4.1732950000000004</v>
      </c>
      <c r="AK42">
        <v>19300000000</v>
      </c>
      <c r="AN42">
        <v>3.8468260000000001</v>
      </c>
      <c r="AO42">
        <v>72.947310000000002</v>
      </c>
      <c r="AP42">
        <v>57.464269999999999</v>
      </c>
      <c r="AQ42">
        <v>0.74577260000000001</v>
      </c>
      <c r="AR42">
        <v>16.25854</v>
      </c>
      <c r="AS42">
        <v>1.461956</v>
      </c>
      <c r="AT42">
        <v>1.4906539999999999</v>
      </c>
      <c r="AU42">
        <v>0.81360399999999999</v>
      </c>
      <c r="AV42">
        <v>1.4906539999999999</v>
      </c>
      <c r="AW42">
        <v>23.68487</v>
      </c>
      <c r="AX42">
        <v>1.1000000000000001</v>
      </c>
      <c r="AY42">
        <v>3.33968556455455</v>
      </c>
      <c r="AZ42" s="1">
        <v>0.91250002384185802</v>
      </c>
      <c r="BA42" s="1">
        <v>8.3999998867511805E-2</v>
      </c>
      <c r="BB42" s="1">
        <v>0.99650001525878895</v>
      </c>
      <c r="BC42" s="1">
        <v>4.964747</v>
      </c>
      <c r="BD42" s="2">
        <v>57.464266078335001</v>
      </c>
      <c r="BE42" s="2">
        <f t="shared" si="0"/>
        <v>5.4964297402409983</v>
      </c>
      <c r="BF42" s="2">
        <f t="shared" si="1"/>
        <v>10.576599157375249</v>
      </c>
      <c r="BG42">
        <v>6465</v>
      </c>
      <c r="BH42" s="3">
        <v>1345</v>
      </c>
      <c r="BI42">
        <v>26.26953125</v>
      </c>
      <c r="BJ42">
        <v>5258</v>
      </c>
      <c r="BK42">
        <v>726</v>
      </c>
      <c r="BL42">
        <v>16.019417475728154</v>
      </c>
      <c r="BM42" s="3">
        <v>62.63</v>
      </c>
      <c r="BN42">
        <v>131.99</v>
      </c>
      <c r="BO42">
        <v>67.81934025280033</v>
      </c>
      <c r="BP42">
        <v>2502760308.1568699</v>
      </c>
      <c r="BQ42">
        <v>28290024.240010262</v>
      </c>
      <c r="BR42">
        <v>1.1177187540644393</v>
      </c>
      <c r="BS42">
        <v>0.2626057</v>
      </c>
      <c r="BT42">
        <v>1.4669179999999999</v>
      </c>
      <c r="BU42">
        <v>2.29839212643309</v>
      </c>
    </row>
    <row r="43" spans="1:73" x14ac:dyDescent="0.2">
      <c r="A43">
        <v>42</v>
      </c>
      <c r="B43" t="s">
        <v>60</v>
      </c>
      <c r="C43">
        <v>2005</v>
      </c>
      <c r="D43">
        <v>2</v>
      </c>
      <c r="E43">
        <v>0</v>
      </c>
      <c r="F43" t="s">
        <v>61</v>
      </c>
      <c r="G43">
        <v>0.79703000000000002</v>
      </c>
      <c r="H43">
        <v>0</v>
      </c>
      <c r="I43">
        <v>1.585</v>
      </c>
      <c r="J43">
        <v>1.651</v>
      </c>
      <c r="K43">
        <v>2.798</v>
      </c>
      <c r="L43">
        <v>2.855</v>
      </c>
      <c r="M43">
        <v>0.995</v>
      </c>
      <c r="N43">
        <v>1.014</v>
      </c>
      <c r="O43">
        <v>0.77900000000000003</v>
      </c>
      <c r="P43">
        <v>4.4470000000000001</v>
      </c>
      <c r="Q43">
        <v>1</v>
      </c>
      <c r="R43">
        <v>4445.3999999999996</v>
      </c>
      <c r="S43">
        <v>2.5750000000000002</v>
      </c>
      <c r="T43">
        <v>5.39</v>
      </c>
      <c r="U43">
        <v>5.45</v>
      </c>
      <c r="V43">
        <v>58.5</v>
      </c>
      <c r="W43" t="s">
        <v>64</v>
      </c>
      <c r="X43" t="s">
        <v>65</v>
      </c>
      <c r="Y43" t="s">
        <v>62</v>
      </c>
      <c r="Z43">
        <v>0.54400000000000004</v>
      </c>
      <c r="AA43">
        <v>0.76400000000000001</v>
      </c>
      <c r="AB43">
        <v>130</v>
      </c>
      <c r="AC43">
        <v>1.69</v>
      </c>
      <c r="AE43">
        <v>-66.193600000000004</v>
      </c>
      <c r="AF43">
        <v>-13.9908</v>
      </c>
      <c r="AG43" t="s">
        <v>63</v>
      </c>
      <c r="AH43" t="s">
        <v>58</v>
      </c>
      <c r="AI43">
        <v>2186.1869999999999</v>
      </c>
      <c r="AJ43">
        <v>4.4214330000000004</v>
      </c>
      <c r="AK43">
        <v>20200000000</v>
      </c>
      <c r="AL43">
        <v>45.025460000000002</v>
      </c>
      <c r="AN43">
        <v>6.5183169999999997</v>
      </c>
      <c r="AO43">
        <v>72.223280000000003</v>
      </c>
      <c r="AP43">
        <v>67.641940000000005</v>
      </c>
      <c r="AQ43">
        <v>-2.4988800000000002</v>
      </c>
      <c r="AR43">
        <v>15.97456</v>
      </c>
      <c r="AS43">
        <v>0.24813750000000001</v>
      </c>
      <c r="AT43">
        <v>1.684545</v>
      </c>
      <c r="AU43">
        <v>0.60684099999999996</v>
      </c>
      <c r="AV43">
        <v>1.684545</v>
      </c>
      <c r="AW43">
        <v>23.72813</v>
      </c>
      <c r="AX43">
        <v>0.94999979999999995</v>
      </c>
      <c r="AY43">
        <v>3.2420200095283498</v>
      </c>
      <c r="AZ43" s="1">
        <v>0.45250001549720797</v>
      </c>
      <c r="BA43" s="1">
        <v>0.30750000476837203</v>
      </c>
      <c r="BB43" s="1">
        <v>0.75999999046325695</v>
      </c>
      <c r="BC43" s="1">
        <v>4.964747</v>
      </c>
      <c r="BD43" s="2">
        <v>67.641941358571998</v>
      </c>
      <c r="BE43" s="2">
        <f t="shared" si="0"/>
        <v>10.177675280236997</v>
      </c>
      <c r="BF43" s="2">
        <f t="shared" si="1"/>
        <v>17.711311698234937</v>
      </c>
      <c r="BG43">
        <v>9391</v>
      </c>
      <c r="BH43" s="3">
        <v>2926</v>
      </c>
      <c r="BI43">
        <v>45.259087393658156</v>
      </c>
      <c r="BJ43">
        <v>7390</v>
      </c>
      <c r="BK43">
        <v>2132</v>
      </c>
      <c r="BL43">
        <v>40.547736782046407</v>
      </c>
      <c r="BM43" s="3">
        <v>-241.62</v>
      </c>
      <c r="BN43">
        <v>304.25</v>
      </c>
      <c r="BO43">
        <v>485.78955771994248</v>
      </c>
      <c r="BP43">
        <v>2669611730.5496802</v>
      </c>
      <c r="BQ43">
        <v>166851422.39281034</v>
      </c>
      <c r="BR43">
        <v>6.6666960415272936</v>
      </c>
      <c r="BS43">
        <v>0.28397749999999999</v>
      </c>
      <c r="BT43">
        <v>0.27653169999999999</v>
      </c>
      <c r="BU43">
        <v>2.5749237996822698</v>
      </c>
    </row>
    <row r="44" spans="1:73" x14ac:dyDescent="0.2">
      <c r="A44">
        <v>43</v>
      </c>
      <c r="B44" t="s">
        <v>60</v>
      </c>
      <c r="C44">
        <v>2006</v>
      </c>
      <c r="D44">
        <v>2</v>
      </c>
      <c r="E44">
        <v>1</v>
      </c>
      <c r="F44" t="s">
        <v>61</v>
      </c>
      <c r="G44">
        <v>0.79703000000000002</v>
      </c>
      <c r="H44">
        <v>0</v>
      </c>
      <c r="I44">
        <v>3.851</v>
      </c>
      <c r="J44">
        <v>3.9020000000000001</v>
      </c>
      <c r="K44">
        <v>4.3609999999999998</v>
      </c>
      <c r="L44">
        <v>4.3899999999999997</v>
      </c>
      <c r="M44">
        <v>1.845</v>
      </c>
      <c r="N44">
        <v>1.87</v>
      </c>
      <c r="O44">
        <v>0.77900000000000003</v>
      </c>
      <c r="P44">
        <v>3.8</v>
      </c>
      <c r="Q44">
        <v>0</v>
      </c>
      <c r="R44">
        <v>4581.8999999999996</v>
      </c>
      <c r="S44">
        <v>2.9769999999999999</v>
      </c>
      <c r="T44">
        <v>4.28</v>
      </c>
      <c r="U44">
        <v>5.08</v>
      </c>
      <c r="V44">
        <v>56.7</v>
      </c>
      <c r="W44" t="s">
        <v>64</v>
      </c>
      <c r="X44" t="s">
        <v>65</v>
      </c>
      <c r="Y44" t="s">
        <v>62</v>
      </c>
      <c r="Z44">
        <v>0.47299999999999998</v>
      </c>
      <c r="AA44">
        <v>0.74</v>
      </c>
      <c r="AB44">
        <v>130</v>
      </c>
      <c r="AC44">
        <v>1.69</v>
      </c>
      <c r="AE44">
        <v>-66.193600000000004</v>
      </c>
      <c r="AF44">
        <v>-13.9908</v>
      </c>
      <c r="AG44" t="s">
        <v>63</v>
      </c>
      <c r="AH44" t="s">
        <v>58</v>
      </c>
      <c r="AI44">
        <v>2251.2750000000001</v>
      </c>
      <c r="AJ44">
        <v>4.7970090000000001</v>
      </c>
      <c r="AK44">
        <v>21200000000</v>
      </c>
      <c r="AL44">
        <v>37.800089999999997</v>
      </c>
      <c r="AN44">
        <v>11.504429999999999</v>
      </c>
      <c r="AO44">
        <v>71.56335</v>
      </c>
      <c r="AP44">
        <v>74.537850000000006</v>
      </c>
      <c r="AQ44">
        <v>2.4516819999999999</v>
      </c>
      <c r="AR44">
        <v>14.354229999999999</v>
      </c>
      <c r="AS44">
        <v>0.37557600000000002</v>
      </c>
      <c r="AT44">
        <v>1.4539530000000001</v>
      </c>
      <c r="AU44">
        <v>0.60684099999999996</v>
      </c>
      <c r="AV44">
        <v>1.4539530000000001</v>
      </c>
      <c r="AW44">
        <v>23.774989999999999</v>
      </c>
      <c r="AX44">
        <v>1.1100000000000001</v>
      </c>
      <c r="AY44">
        <v>3.2420200095283498</v>
      </c>
      <c r="AZ44" s="1">
        <v>0.45250001549720797</v>
      </c>
      <c r="BA44" s="1">
        <v>0.30750000476837203</v>
      </c>
      <c r="BB44" s="1">
        <v>0.75999999046325695</v>
      </c>
      <c r="BC44" s="1">
        <v>2.3649591999999999</v>
      </c>
      <c r="BD44" s="2">
        <v>74.537848442097001</v>
      </c>
      <c r="BE44" s="2">
        <f t="shared" si="0"/>
        <v>6.8959070835250031</v>
      </c>
      <c r="BF44" s="2">
        <f t="shared" si="1"/>
        <v>10.194720827082104</v>
      </c>
      <c r="BG44">
        <v>14350</v>
      </c>
      <c r="BH44" s="3">
        <v>4959</v>
      </c>
      <c r="BI44">
        <v>52.805877968267488</v>
      </c>
      <c r="BJ44">
        <v>10563</v>
      </c>
      <c r="BK44">
        <v>3173</v>
      </c>
      <c r="BL44">
        <v>42.936400541271986</v>
      </c>
      <c r="BM44" s="3">
        <v>277.76339999999999</v>
      </c>
      <c r="BN44">
        <v>519.38339999999994</v>
      </c>
      <c r="BO44">
        <v>-214.95877824683384</v>
      </c>
      <c r="BP44">
        <v>2917754259.5729899</v>
      </c>
      <c r="BQ44">
        <v>248142529.02330971</v>
      </c>
      <c r="BR44">
        <v>9.2950793624291013</v>
      </c>
      <c r="BS44">
        <v>1.620325</v>
      </c>
      <c r="BT44">
        <v>0.4023292</v>
      </c>
      <c r="BU44">
        <v>2.97725306781697</v>
      </c>
    </row>
    <row r="45" spans="1:73" x14ac:dyDescent="0.2">
      <c r="A45">
        <v>44</v>
      </c>
      <c r="B45" t="s">
        <v>60</v>
      </c>
      <c r="C45">
        <v>2007</v>
      </c>
      <c r="D45">
        <v>2</v>
      </c>
      <c r="E45">
        <v>0</v>
      </c>
      <c r="F45" t="s">
        <v>61</v>
      </c>
      <c r="G45">
        <v>0.79703000000000002</v>
      </c>
      <c r="H45">
        <v>0</v>
      </c>
      <c r="I45">
        <v>3.851</v>
      </c>
      <c r="J45">
        <v>3.9020000000000001</v>
      </c>
      <c r="K45">
        <v>4.3609999999999998</v>
      </c>
      <c r="L45">
        <v>4.3899999999999997</v>
      </c>
      <c r="M45">
        <v>1.845</v>
      </c>
      <c r="N45">
        <v>1.87</v>
      </c>
      <c r="O45">
        <v>1.258</v>
      </c>
      <c r="P45">
        <v>4.069</v>
      </c>
      <c r="Q45">
        <v>0</v>
      </c>
      <c r="R45">
        <v>4713.5</v>
      </c>
      <c r="S45">
        <v>2.7810000000000001</v>
      </c>
      <c r="T45">
        <v>8.7100000000000009</v>
      </c>
      <c r="U45">
        <v>5.18</v>
      </c>
      <c r="V45">
        <v>54.5</v>
      </c>
      <c r="W45" t="s">
        <v>64</v>
      </c>
      <c r="X45" t="s">
        <v>65</v>
      </c>
      <c r="Y45" t="s">
        <v>62</v>
      </c>
      <c r="Z45">
        <v>0.46200000000000002</v>
      </c>
      <c r="AA45">
        <v>0.72499999999999998</v>
      </c>
      <c r="AB45">
        <v>130</v>
      </c>
      <c r="AC45">
        <v>1.69</v>
      </c>
      <c r="AE45">
        <v>-66.193600000000004</v>
      </c>
      <c r="AF45">
        <v>-13.9908</v>
      </c>
      <c r="AG45" t="s">
        <v>63</v>
      </c>
      <c r="AH45" t="s">
        <v>58</v>
      </c>
      <c r="AI45">
        <v>2313.8910000000001</v>
      </c>
      <c r="AJ45">
        <v>4.5643840000000004</v>
      </c>
      <c r="AK45">
        <v>22100000000</v>
      </c>
      <c r="AL45">
        <v>36.968429999999998</v>
      </c>
      <c r="AN45">
        <v>12.12823</v>
      </c>
      <c r="AO45">
        <v>70.812640000000002</v>
      </c>
      <c r="AP45">
        <v>76.061909999999997</v>
      </c>
      <c r="AQ45">
        <v>2.7918379999999998</v>
      </c>
      <c r="AR45">
        <v>14.05865</v>
      </c>
      <c r="AS45">
        <v>0.23262450000000001</v>
      </c>
      <c r="AT45">
        <v>2.164472</v>
      </c>
      <c r="AU45">
        <v>1.5825640000000001</v>
      </c>
      <c r="AV45">
        <v>2.164472</v>
      </c>
      <c r="AW45">
        <v>23.81962</v>
      </c>
      <c r="AX45">
        <v>4.43</v>
      </c>
      <c r="AY45">
        <v>3.6223598538986801</v>
      </c>
      <c r="AZ45" s="1">
        <v>0.45250001549720797</v>
      </c>
      <c r="BA45" s="1">
        <v>0.30750000476837203</v>
      </c>
      <c r="BB45" s="1">
        <v>0.75999999046325695</v>
      </c>
      <c r="BC45" s="1">
        <v>2.3649591999999999</v>
      </c>
      <c r="BD45" s="2">
        <v>76.061911432651002</v>
      </c>
      <c r="BE45" s="2">
        <f t="shared" si="0"/>
        <v>1.5240629905540004</v>
      </c>
      <c r="BF45" s="2">
        <f t="shared" si="1"/>
        <v>2.0446833687961004</v>
      </c>
      <c r="BG45">
        <v>24617</v>
      </c>
      <c r="BH45" s="3">
        <v>10267</v>
      </c>
      <c r="BI45">
        <v>71.547038327526138</v>
      </c>
      <c r="BJ45">
        <v>16705</v>
      </c>
      <c r="BK45">
        <v>6142</v>
      </c>
      <c r="BL45">
        <v>58.146359935624346</v>
      </c>
      <c r="BM45" s="3">
        <v>363.29419999999999</v>
      </c>
      <c r="BN45">
        <v>85.530799999999999</v>
      </c>
      <c r="BO45">
        <v>30.792681829211482</v>
      </c>
      <c r="BP45">
        <v>3286664702.74264</v>
      </c>
      <c r="BQ45">
        <v>368910443.16965008</v>
      </c>
      <c r="BR45">
        <v>12.643643376040851</v>
      </c>
      <c r="BS45">
        <v>0.29557990000000001</v>
      </c>
      <c r="BT45">
        <v>0.19588420000000001</v>
      </c>
      <c r="BU45">
        <v>2.7813686310099701</v>
      </c>
    </row>
    <row r="46" spans="1:73" x14ac:dyDescent="0.2">
      <c r="A46">
        <v>45</v>
      </c>
      <c r="B46" t="s">
        <v>60</v>
      </c>
      <c r="C46">
        <v>2008</v>
      </c>
      <c r="D46">
        <v>2</v>
      </c>
      <c r="E46">
        <v>0</v>
      </c>
      <c r="F46" t="s">
        <v>61</v>
      </c>
      <c r="G46">
        <v>0.79703000000000002</v>
      </c>
      <c r="H46">
        <v>0</v>
      </c>
      <c r="I46">
        <v>3.851</v>
      </c>
      <c r="J46">
        <v>3.9020000000000001</v>
      </c>
      <c r="K46">
        <v>4.3609999999999998</v>
      </c>
      <c r="L46">
        <v>4.3899999999999997</v>
      </c>
      <c r="M46">
        <v>1.845</v>
      </c>
      <c r="N46">
        <v>1.87</v>
      </c>
      <c r="O46">
        <v>1.258</v>
      </c>
      <c r="P46">
        <v>3.556</v>
      </c>
      <c r="Q46">
        <v>0</v>
      </c>
      <c r="R46">
        <v>4924</v>
      </c>
      <c r="S46">
        <v>4.3689999999999998</v>
      </c>
      <c r="T46">
        <v>14.01</v>
      </c>
      <c r="U46">
        <v>2.6</v>
      </c>
      <c r="V46">
        <v>50.8</v>
      </c>
      <c r="W46" t="s">
        <v>64</v>
      </c>
      <c r="X46" t="s">
        <v>65</v>
      </c>
      <c r="Y46" t="s">
        <v>62</v>
      </c>
      <c r="Z46">
        <v>0.46100000000000002</v>
      </c>
      <c r="AA46">
        <v>0.73</v>
      </c>
      <c r="AB46">
        <v>130</v>
      </c>
      <c r="AC46">
        <v>1.69</v>
      </c>
      <c r="AE46">
        <v>-66.193600000000004</v>
      </c>
      <c r="AF46">
        <v>-13.9908</v>
      </c>
      <c r="AG46" t="s">
        <v>63</v>
      </c>
      <c r="AH46" t="s">
        <v>58</v>
      </c>
      <c r="AI46">
        <v>2414.973</v>
      </c>
      <c r="AJ46">
        <v>6.148498</v>
      </c>
      <c r="AK46">
        <v>23500000000</v>
      </c>
      <c r="AL46">
        <v>34.692619999999998</v>
      </c>
      <c r="AN46">
        <v>11.950699999999999</v>
      </c>
      <c r="AO46">
        <v>70.00479</v>
      </c>
      <c r="AP46">
        <v>82.867019999999997</v>
      </c>
      <c r="AQ46">
        <v>3.0726019999999998</v>
      </c>
      <c r="AR46">
        <v>13.277369999999999</v>
      </c>
      <c r="AS46">
        <v>1.584114</v>
      </c>
      <c r="AT46">
        <v>2.6397710000000001</v>
      </c>
      <c r="AU46">
        <v>1.5825640000000001</v>
      </c>
      <c r="AV46">
        <v>2.6397710000000001</v>
      </c>
      <c r="AW46">
        <v>23.879290000000001</v>
      </c>
      <c r="AX46">
        <v>5.3</v>
      </c>
      <c r="AY46">
        <v>3.6223598538986801</v>
      </c>
      <c r="AZ46" s="1">
        <v>0.45250001549720797</v>
      </c>
      <c r="BA46" s="1">
        <v>0.30750000476837203</v>
      </c>
      <c r="BB46" s="1">
        <v>0.75999999046325695</v>
      </c>
      <c r="BC46" s="1">
        <v>2.3649591999999999</v>
      </c>
      <c r="BD46" s="2">
        <v>82.867020899920007</v>
      </c>
      <c r="BE46" s="2">
        <f t="shared" si="0"/>
        <v>6.8051094672690056</v>
      </c>
      <c r="BF46" s="2">
        <f t="shared" si="1"/>
        <v>8.9468031227358615</v>
      </c>
      <c r="BG46">
        <v>31556</v>
      </c>
      <c r="BH46" s="3">
        <v>6939</v>
      </c>
      <c r="BI46">
        <v>28.1878376731527</v>
      </c>
      <c r="BJ46">
        <v>20588</v>
      </c>
      <c r="BK46">
        <v>3883</v>
      </c>
      <c r="BL46">
        <v>23.244537563603711</v>
      </c>
      <c r="BM46" s="3">
        <v>509.3356</v>
      </c>
      <c r="BN46">
        <v>146.04140000000001</v>
      </c>
      <c r="BO46">
        <v>40.199210447070172</v>
      </c>
      <c r="BP46">
        <v>3900374018.9741001</v>
      </c>
      <c r="BQ46">
        <v>613709316.23146009</v>
      </c>
      <c r="BR46">
        <v>18.672708406164308</v>
      </c>
      <c r="BS46">
        <v>0.78127860000000005</v>
      </c>
      <c r="BT46">
        <v>1.587126</v>
      </c>
      <c r="BU46">
        <v>4.3684949414169996</v>
      </c>
    </row>
    <row r="47" spans="1:73" x14ac:dyDescent="0.2">
      <c r="A47">
        <v>46</v>
      </c>
      <c r="B47" t="s">
        <v>60</v>
      </c>
      <c r="C47">
        <v>2009</v>
      </c>
      <c r="D47">
        <v>2</v>
      </c>
      <c r="E47">
        <v>0</v>
      </c>
      <c r="F47" t="s">
        <v>61</v>
      </c>
      <c r="G47">
        <v>0.79703000000000002</v>
      </c>
      <c r="H47">
        <v>0</v>
      </c>
      <c r="I47">
        <v>3.851</v>
      </c>
      <c r="J47">
        <v>3.9020000000000001</v>
      </c>
      <c r="K47">
        <v>4.3609999999999998</v>
      </c>
      <c r="L47">
        <v>4.3899999999999997</v>
      </c>
      <c r="M47">
        <v>1.845</v>
      </c>
      <c r="N47">
        <v>1.87</v>
      </c>
      <c r="O47">
        <v>1.05</v>
      </c>
      <c r="P47">
        <v>3.464</v>
      </c>
      <c r="Q47">
        <v>1</v>
      </c>
      <c r="R47">
        <v>5011.3</v>
      </c>
      <c r="S47">
        <v>1.649</v>
      </c>
      <c r="T47">
        <v>3.35</v>
      </c>
      <c r="U47">
        <v>2.97</v>
      </c>
      <c r="V47">
        <v>49.2</v>
      </c>
      <c r="W47" t="s">
        <v>64</v>
      </c>
      <c r="X47" t="s">
        <v>65</v>
      </c>
      <c r="Y47" t="s">
        <v>59</v>
      </c>
      <c r="Z47">
        <v>0.44900000000000001</v>
      </c>
      <c r="AA47">
        <v>0.72899999999999998</v>
      </c>
      <c r="AB47">
        <v>130</v>
      </c>
      <c r="AC47">
        <v>1.69</v>
      </c>
      <c r="AE47">
        <v>-66.193600000000004</v>
      </c>
      <c r="AF47">
        <v>-13.9908</v>
      </c>
      <c r="AG47" t="s">
        <v>63</v>
      </c>
      <c r="AH47" t="s">
        <v>58</v>
      </c>
      <c r="AI47">
        <v>2454.8000000000002</v>
      </c>
      <c r="AJ47">
        <v>3.3570000000000002</v>
      </c>
      <c r="AK47">
        <v>24300000000</v>
      </c>
      <c r="AL47">
        <v>37.018219999999999</v>
      </c>
      <c r="AN47">
        <v>4.6916979999999997</v>
      </c>
      <c r="AO47">
        <v>69.182400000000001</v>
      </c>
      <c r="AP47">
        <v>68.627080000000007</v>
      </c>
      <c r="AQ47">
        <v>2.4396779999999998</v>
      </c>
      <c r="AR47">
        <v>14.708769999999999</v>
      </c>
      <c r="AS47">
        <v>2.7914979999999998</v>
      </c>
      <c r="AT47">
        <v>1.20896</v>
      </c>
      <c r="AU47">
        <v>1.1025</v>
      </c>
      <c r="AV47">
        <v>1.20896</v>
      </c>
      <c r="AW47">
        <v>23.912310000000002</v>
      </c>
      <c r="AX47">
        <v>10.66</v>
      </c>
      <c r="AY47">
        <v>3.4572018421470498</v>
      </c>
      <c r="AZ47" s="1">
        <v>0.99899995326995805</v>
      </c>
      <c r="BA47" s="1">
        <v>0</v>
      </c>
      <c r="BB47" s="1">
        <v>0.99899995326995805</v>
      </c>
      <c r="BC47" s="1">
        <v>2.3649591999999999</v>
      </c>
      <c r="BD47" s="2">
        <v>68.627073952535</v>
      </c>
      <c r="BE47" s="2">
        <f t="shared" si="0"/>
        <v>14.239946947385008</v>
      </c>
      <c r="BF47" s="2">
        <f t="shared" si="1"/>
        <v>17.184094218353582</v>
      </c>
      <c r="BG47">
        <v>41733</v>
      </c>
      <c r="BH47" s="3">
        <v>10177</v>
      </c>
      <c r="BI47">
        <v>32.250602104195714</v>
      </c>
      <c r="BJ47">
        <v>24555</v>
      </c>
      <c r="BK47">
        <v>3967</v>
      </c>
      <c r="BL47">
        <v>19.268505925782009</v>
      </c>
      <c r="BM47" s="3">
        <v>420.04</v>
      </c>
      <c r="BN47">
        <v>89.295599999999979</v>
      </c>
      <c r="BO47">
        <v>17.531780617730231</v>
      </c>
      <c r="BP47">
        <v>4013055962.6475401</v>
      </c>
      <c r="BQ47">
        <v>112681943.67343998</v>
      </c>
      <c r="BR47">
        <v>2.889003544923578</v>
      </c>
      <c r="BS47">
        <v>1.4313910000000001</v>
      </c>
      <c r="BT47">
        <v>2.7193320000000001</v>
      </c>
      <c r="BU47">
        <v>1.6491627045825501</v>
      </c>
    </row>
    <row r="48" spans="1:73" x14ac:dyDescent="0.2">
      <c r="A48">
        <v>47</v>
      </c>
      <c r="B48" t="s">
        <v>60</v>
      </c>
      <c r="C48">
        <v>2010</v>
      </c>
      <c r="D48">
        <v>2</v>
      </c>
      <c r="E48">
        <v>1</v>
      </c>
      <c r="F48" t="s">
        <v>61</v>
      </c>
      <c r="G48">
        <v>0.79703000000000002</v>
      </c>
      <c r="H48">
        <v>0</v>
      </c>
      <c r="I48">
        <v>1.6180000000000001</v>
      </c>
      <c r="J48">
        <v>1.7090000000000001</v>
      </c>
      <c r="K48">
        <v>2.8260000000000001</v>
      </c>
      <c r="L48">
        <v>2.9049999999999998</v>
      </c>
      <c r="M48">
        <v>1.1040000000000001</v>
      </c>
      <c r="N48">
        <v>1.1659999999999999</v>
      </c>
      <c r="O48">
        <v>0.89500000000000002</v>
      </c>
      <c r="P48">
        <v>3.2719999999999998</v>
      </c>
      <c r="Q48">
        <v>0</v>
      </c>
      <c r="R48">
        <v>5141.8</v>
      </c>
      <c r="S48">
        <v>2.4289999999999998</v>
      </c>
      <c r="T48">
        <v>2.5</v>
      </c>
      <c r="W48" t="s">
        <v>64</v>
      </c>
      <c r="X48" t="s">
        <v>65</v>
      </c>
      <c r="Y48" t="s">
        <v>59</v>
      </c>
      <c r="Z48">
        <v>0.41099999999999998</v>
      </c>
      <c r="AA48">
        <v>0.68700000000000006</v>
      </c>
      <c r="AB48">
        <v>130</v>
      </c>
      <c r="AC48">
        <v>1.69</v>
      </c>
      <c r="AE48">
        <v>-66.193600000000004</v>
      </c>
      <c r="AF48">
        <v>-13.9908</v>
      </c>
      <c r="AG48" t="s">
        <v>63</v>
      </c>
      <c r="AH48" t="s">
        <v>58</v>
      </c>
      <c r="AI48">
        <v>2514.4349999999999</v>
      </c>
      <c r="AJ48">
        <v>4.1267230000000001</v>
      </c>
      <c r="AK48">
        <v>25300000000</v>
      </c>
      <c r="AL48">
        <v>40.342289999999998</v>
      </c>
      <c r="AN48">
        <v>4.4466260000000002</v>
      </c>
      <c r="AO48">
        <v>68.36909</v>
      </c>
      <c r="AP48">
        <v>75.511629999999997</v>
      </c>
      <c r="AQ48">
        <v>3.1654439999999999</v>
      </c>
      <c r="AR48">
        <v>13.83122</v>
      </c>
      <c r="AS48">
        <v>0.76972320000000005</v>
      </c>
      <c r="AT48">
        <v>0.91629079999999996</v>
      </c>
      <c r="AU48">
        <v>0.80102499999999999</v>
      </c>
      <c r="AV48">
        <v>0.91629079999999996</v>
      </c>
      <c r="AW48">
        <v>23.952750000000002</v>
      </c>
      <c r="AX48">
        <v>0.84999990000000003</v>
      </c>
      <c r="AY48">
        <v>3.3341273622359902</v>
      </c>
      <c r="AZ48" s="1">
        <v>0.99899995326995805</v>
      </c>
      <c r="BA48" s="1">
        <v>0</v>
      </c>
      <c r="BB48" s="1">
        <v>0.99899995326995805</v>
      </c>
      <c r="BC48" s="1">
        <v>1.8518517000000001</v>
      </c>
      <c r="BD48" s="2">
        <v>75.511626274817999</v>
      </c>
      <c r="BE48" s="2">
        <f t="shared" si="0"/>
        <v>6.8845523222829996</v>
      </c>
      <c r="BF48" s="2">
        <f t="shared" si="1"/>
        <v>10.031831354262035</v>
      </c>
      <c r="BG48">
        <v>55775</v>
      </c>
      <c r="BH48" s="3">
        <v>14042</v>
      </c>
      <c r="BI48">
        <v>33.647233604102269</v>
      </c>
      <c r="BJ48">
        <v>31822</v>
      </c>
      <c r="BK48">
        <v>7267</v>
      </c>
      <c r="BL48">
        <v>29.594787212380371</v>
      </c>
      <c r="BM48" s="3">
        <v>650.80319999999995</v>
      </c>
      <c r="BN48">
        <v>230.76319999999993</v>
      </c>
      <c r="BO48">
        <v>54.93838682030281</v>
      </c>
      <c r="BP48">
        <v>4312581603.3656597</v>
      </c>
      <c r="BQ48">
        <v>299525640.71811962</v>
      </c>
      <c r="BR48">
        <v>7.4637793119763289</v>
      </c>
      <c r="BS48">
        <v>0.8775463</v>
      </c>
      <c r="BT48">
        <v>0.78014030000000001</v>
      </c>
      <c r="BU48">
        <v>2.4293029366041501</v>
      </c>
    </row>
    <row r="49" spans="1:73" x14ac:dyDescent="0.2">
      <c r="A49">
        <v>48</v>
      </c>
      <c r="B49" t="s">
        <v>60</v>
      </c>
      <c r="C49">
        <v>2011</v>
      </c>
      <c r="D49">
        <v>2</v>
      </c>
      <c r="E49">
        <v>0</v>
      </c>
      <c r="F49" t="s">
        <v>61</v>
      </c>
      <c r="G49">
        <v>0.79703000000000002</v>
      </c>
      <c r="H49">
        <v>0</v>
      </c>
      <c r="I49">
        <v>1.6180000000000001</v>
      </c>
      <c r="J49">
        <v>1.7090000000000001</v>
      </c>
      <c r="K49">
        <v>2.8260000000000001</v>
      </c>
      <c r="L49">
        <v>2.9049999999999998</v>
      </c>
      <c r="M49">
        <v>1.1040000000000001</v>
      </c>
      <c r="N49">
        <v>1.1659999999999999</v>
      </c>
      <c r="O49">
        <v>0.89500000000000002</v>
      </c>
      <c r="P49">
        <v>3.9769999999999999</v>
      </c>
      <c r="Q49">
        <v>0</v>
      </c>
      <c r="R49">
        <v>5331</v>
      </c>
      <c r="S49">
        <v>3.5110000000000001</v>
      </c>
      <c r="T49">
        <v>9.8800000000000008</v>
      </c>
      <c r="U49">
        <v>2.25</v>
      </c>
      <c r="V49">
        <v>46.1</v>
      </c>
      <c r="W49" t="s">
        <v>64</v>
      </c>
      <c r="X49" t="s">
        <v>65</v>
      </c>
      <c r="Y49" t="s">
        <v>59</v>
      </c>
      <c r="Z49">
        <v>0.41199999999999998</v>
      </c>
      <c r="AA49">
        <v>0.68400000000000005</v>
      </c>
      <c r="AB49">
        <v>130</v>
      </c>
      <c r="AC49">
        <v>1.69</v>
      </c>
      <c r="AE49">
        <v>-66.193600000000004</v>
      </c>
      <c r="AF49">
        <v>-13.9908</v>
      </c>
      <c r="AG49" t="s">
        <v>63</v>
      </c>
      <c r="AH49" t="s">
        <v>58</v>
      </c>
      <c r="AI49">
        <v>2602.7190000000001</v>
      </c>
      <c r="AJ49">
        <v>5.2040930000000003</v>
      </c>
      <c r="AK49">
        <v>26600000000</v>
      </c>
      <c r="AL49">
        <v>40.793089999999999</v>
      </c>
      <c r="AN49">
        <v>2.2418070000000001</v>
      </c>
      <c r="AO49">
        <v>67.552599999999998</v>
      </c>
      <c r="AP49">
        <v>82.48039</v>
      </c>
      <c r="AQ49">
        <v>3.5844420000000001</v>
      </c>
      <c r="AR49">
        <v>13.777100000000001</v>
      </c>
      <c r="AS49">
        <v>1.0773699999999999</v>
      </c>
      <c r="AT49">
        <v>2.2905129999999998</v>
      </c>
      <c r="AU49">
        <v>0.80102499999999999</v>
      </c>
      <c r="AV49">
        <v>2.2905129999999998</v>
      </c>
      <c r="AW49">
        <v>24.00348</v>
      </c>
      <c r="AX49">
        <v>7.38</v>
      </c>
      <c r="AY49">
        <v>3.3341273622359902</v>
      </c>
      <c r="AZ49" s="1">
        <v>0.99899995326995805</v>
      </c>
      <c r="BA49" s="1">
        <v>0</v>
      </c>
      <c r="BB49" s="1">
        <v>0.99899995326995805</v>
      </c>
      <c r="BC49" s="1">
        <v>1.8518517000000001</v>
      </c>
      <c r="BD49" s="2">
        <v>82.480395431380998</v>
      </c>
      <c r="BE49" s="2">
        <f t="shared" si="0"/>
        <v>6.968769156562999</v>
      </c>
      <c r="BF49" s="2">
        <f t="shared" si="1"/>
        <v>9.2287366864551021</v>
      </c>
      <c r="BG49">
        <v>72025</v>
      </c>
      <c r="BH49" s="3">
        <v>16250</v>
      </c>
      <c r="BI49">
        <v>29.134917077543701</v>
      </c>
      <c r="BJ49">
        <v>37089</v>
      </c>
      <c r="BK49">
        <v>5267</v>
      </c>
      <c r="BL49">
        <v>16.551442398340772</v>
      </c>
      <c r="BM49" s="3">
        <v>858.66629999999998</v>
      </c>
      <c r="BN49">
        <v>207.86310000000003</v>
      </c>
      <c r="BO49">
        <v>31.939471102784999</v>
      </c>
      <c r="BP49">
        <v>5335265746.6617899</v>
      </c>
      <c r="BQ49">
        <v>1022684143.2961302</v>
      </c>
      <c r="BR49">
        <v>23.713966189022344</v>
      </c>
      <c r="BS49">
        <v>5.4117199999999997E-2</v>
      </c>
      <c r="BT49">
        <v>1.081771</v>
      </c>
      <c r="BU49">
        <v>3.51107409712594</v>
      </c>
    </row>
    <row r="50" spans="1:73" x14ac:dyDescent="0.2">
      <c r="A50">
        <v>49</v>
      </c>
      <c r="B50" t="s">
        <v>60</v>
      </c>
      <c r="C50">
        <v>2012</v>
      </c>
      <c r="D50">
        <v>2</v>
      </c>
      <c r="E50">
        <v>0</v>
      </c>
      <c r="F50" t="s">
        <v>61</v>
      </c>
      <c r="G50">
        <v>0.79703000000000002</v>
      </c>
      <c r="H50">
        <v>0</v>
      </c>
      <c r="I50">
        <v>1.6180000000000001</v>
      </c>
      <c r="J50">
        <v>1.7090000000000001</v>
      </c>
      <c r="K50">
        <v>2.8260000000000001</v>
      </c>
      <c r="L50">
        <v>2.9049999999999998</v>
      </c>
      <c r="M50">
        <v>1.1040000000000001</v>
      </c>
      <c r="N50">
        <v>1.1659999999999999</v>
      </c>
      <c r="O50">
        <v>0.68</v>
      </c>
      <c r="P50">
        <v>3.9769999999999999</v>
      </c>
      <c r="Q50">
        <v>0</v>
      </c>
      <c r="R50">
        <v>5511</v>
      </c>
      <c r="S50">
        <v>3.4540000000000002</v>
      </c>
      <c r="T50">
        <v>4.5199999999999996</v>
      </c>
      <c r="U50">
        <v>2.0699999999999998</v>
      </c>
      <c r="V50">
        <v>46.6</v>
      </c>
      <c r="W50" t="s">
        <v>64</v>
      </c>
      <c r="X50" t="s">
        <v>65</v>
      </c>
      <c r="Y50" t="s">
        <v>59</v>
      </c>
      <c r="Z50">
        <v>0.40699999999999997</v>
      </c>
      <c r="AA50">
        <v>0.68600000000000005</v>
      </c>
      <c r="AB50">
        <v>130</v>
      </c>
      <c r="AC50">
        <v>1.69</v>
      </c>
      <c r="AE50">
        <v>-66.193600000000004</v>
      </c>
      <c r="AF50">
        <v>-13.9908</v>
      </c>
      <c r="AG50" t="s">
        <v>63</v>
      </c>
      <c r="AH50" t="s">
        <v>58</v>
      </c>
      <c r="AI50">
        <v>2692.607</v>
      </c>
      <c r="AJ50">
        <v>5.1222750000000001</v>
      </c>
      <c r="AK50">
        <v>27900000000</v>
      </c>
      <c r="AL50">
        <v>44.13691</v>
      </c>
      <c r="AN50">
        <v>7.2736780000000003</v>
      </c>
      <c r="AO50">
        <v>66.775440000000003</v>
      </c>
      <c r="AP50">
        <v>84.948759999999993</v>
      </c>
      <c r="AQ50">
        <v>3.9135499999999999</v>
      </c>
      <c r="AR50">
        <v>13.439629999999999</v>
      </c>
      <c r="AS50">
        <v>8.1817200000000007E-2</v>
      </c>
      <c r="AT50">
        <v>1.5085120000000001</v>
      </c>
      <c r="AU50">
        <v>0.46239999999999998</v>
      </c>
      <c r="AV50">
        <v>1.5085120000000001</v>
      </c>
      <c r="AW50">
        <v>24.053429999999999</v>
      </c>
      <c r="AX50">
        <v>5.36</v>
      </c>
      <c r="AY50">
        <v>3.1634111481657898</v>
      </c>
      <c r="AZ50" s="1">
        <v>0.99899995326995805</v>
      </c>
      <c r="BA50" s="1">
        <v>0</v>
      </c>
      <c r="BB50" s="1">
        <v>0.99899995326995805</v>
      </c>
      <c r="BC50" s="1">
        <v>1.8518517000000001</v>
      </c>
      <c r="BD50" s="2">
        <v>84.948761176085995</v>
      </c>
      <c r="BE50" s="2">
        <f t="shared" si="0"/>
        <v>2.4683657447049967</v>
      </c>
      <c r="BF50" s="2">
        <f t="shared" si="1"/>
        <v>2.9926696299104636</v>
      </c>
      <c r="BG50">
        <v>93542</v>
      </c>
      <c r="BH50" s="3">
        <v>21517</v>
      </c>
      <c r="BI50">
        <v>29.874349184311004</v>
      </c>
      <c r="BJ50">
        <v>44297</v>
      </c>
      <c r="BK50">
        <v>7208</v>
      </c>
      <c r="BL50">
        <v>19.434333629917226</v>
      </c>
      <c r="BM50" s="3">
        <v>1059.9653000000001</v>
      </c>
      <c r="BN50">
        <v>201.29900000000009</v>
      </c>
      <c r="BO50">
        <v>23.443216532429432</v>
      </c>
      <c r="BP50">
        <v>5470015819.6811104</v>
      </c>
      <c r="BQ50">
        <v>134750073.01932049</v>
      </c>
      <c r="BR50">
        <v>2.5256487571145252</v>
      </c>
      <c r="BS50">
        <v>0.33747480000000002</v>
      </c>
      <c r="BT50">
        <v>5.74157E-2</v>
      </c>
      <c r="BU50">
        <v>3.45365822393661</v>
      </c>
    </row>
    <row r="51" spans="1:73" x14ac:dyDescent="0.2">
      <c r="A51">
        <v>50</v>
      </c>
      <c r="B51" t="s">
        <v>60</v>
      </c>
      <c r="C51">
        <v>2013</v>
      </c>
      <c r="D51">
        <v>2</v>
      </c>
      <c r="E51">
        <v>0</v>
      </c>
      <c r="F51" t="s">
        <v>61</v>
      </c>
      <c r="G51">
        <v>0.79703000000000002</v>
      </c>
      <c r="H51">
        <v>0</v>
      </c>
      <c r="I51">
        <v>1.6180000000000001</v>
      </c>
      <c r="J51">
        <v>1.7090000000000001</v>
      </c>
      <c r="K51">
        <v>2.8260000000000001</v>
      </c>
      <c r="L51">
        <v>2.9049999999999998</v>
      </c>
      <c r="M51">
        <v>1.1040000000000001</v>
      </c>
      <c r="N51">
        <v>1.1659999999999999</v>
      </c>
      <c r="O51">
        <v>0.68</v>
      </c>
      <c r="P51">
        <v>3.2480000000000002</v>
      </c>
      <c r="Q51">
        <v>0</v>
      </c>
      <c r="R51">
        <v>5789</v>
      </c>
      <c r="S51">
        <v>5.1280000000000001</v>
      </c>
      <c r="T51">
        <v>5.74</v>
      </c>
      <c r="U51">
        <v>2.44</v>
      </c>
      <c r="V51">
        <v>47.6</v>
      </c>
      <c r="W51" t="s">
        <v>64</v>
      </c>
      <c r="X51" t="s">
        <v>65</v>
      </c>
      <c r="Y51" t="s">
        <v>59</v>
      </c>
      <c r="Z51">
        <v>0.41199999999999998</v>
      </c>
      <c r="AA51">
        <v>0.67</v>
      </c>
      <c r="AB51">
        <v>130</v>
      </c>
      <c r="AC51">
        <v>1.69</v>
      </c>
      <c r="AE51">
        <v>-66.193600000000004</v>
      </c>
      <c r="AF51">
        <v>-13.9908</v>
      </c>
      <c r="AG51" t="s">
        <v>63</v>
      </c>
      <c r="AH51" t="s">
        <v>58</v>
      </c>
      <c r="AI51">
        <v>2830.6729999999998</v>
      </c>
      <c r="AJ51">
        <v>6.796011</v>
      </c>
      <c r="AK51">
        <v>29800000000</v>
      </c>
      <c r="AL51">
        <v>46.679659999999998</v>
      </c>
      <c r="AN51">
        <v>3.4377209999999998</v>
      </c>
      <c r="AO51">
        <v>66.008949999999999</v>
      </c>
      <c r="AP51">
        <v>81.230909999999994</v>
      </c>
      <c r="AQ51">
        <v>5.7066220000000003</v>
      </c>
      <c r="AR51">
        <v>13.84151</v>
      </c>
      <c r="AS51">
        <v>1.6737359999999999</v>
      </c>
      <c r="AT51">
        <v>1.7474590000000001</v>
      </c>
      <c r="AU51">
        <v>0.46239999999999998</v>
      </c>
      <c r="AV51">
        <v>1.7474590000000001</v>
      </c>
      <c r="AW51">
        <v>24.11918</v>
      </c>
      <c r="AX51">
        <v>1.22</v>
      </c>
      <c r="AY51">
        <v>3.1634111481657898</v>
      </c>
      <c r="AZ51" s="1">
        <v>0.99899995326995805</v>
      </c>
      <c r="BA51" s="1">
        <v>0</v>
      </c>
      <c r="BB51" s="1">
        <v>0.99899995326995805</v>
      </c>
      <c r="BC51" s="1">
        <v>1.8518517000000001</v>
      </c>
      <c r="BD51" s="2">
        <v>81.230907571692001</v>
      </c>
      <c r="BE51" s="2">
        <f t="shared" si="0"/>
        <v>3.7178536043939943</v>
      </c>
      <c r="BF51" s="2">
        <f t="shared" si="1"/>
        <v>4.3765836639894529</v>
      </c>
      <c r="BG51">
        <v>112761</v>
      </c>
      <c r="BH51" s="3">
        <v>19219</v>
      </c>
      <c r="BI51">
        <v>20.545851061555236</v>
      </c>
      <c r="BJ51">
        <v>50526</v>
      </c>
      <c r="BK51">
        <v>6229</v>
      </c>
      <c r="BL51">
        <v>14.061900354425807</v>
      </c>
      <c r="BM51" s="3">
        <v>1749.6125999999999</v>
      </c>
      <c r="BN51">
        <v>689.64729999999986</v>
      </c>
      <c r="BO51">
        <v>65.063195936697156</v>
      </c>
      <c r="BP51">
        <v>6111485751.19452</v>
      </c>
      <c r="BQ51">
        <v>641469931.51340961</v>
      </c>
      <c r="BR51">
        <v>11.727021505228587</v>
      </c>
      <c r="BS51">
        <v>0.40188790000000002</v>
      </c>
      <c r="BT51">
        <v>1.673935</v>
      </c>
      <c r="BU51">
        <v>5.1275933069367996</v>
      </c>
    </row>
    <row r="52" spans="1:73" x14ac:dyDescent="0.2">
      <c r="A52">
        <v>51</v>
      </c>
      <c r="B52" t="s">
        <v>60</v>
      </c>
      <c r="C52">
        <v>2014</v>
      </c>
      <c r="D52">
        <v>2</v>
      </c>
      <c r="E52">
        <v>0</v>
      </c>
      <c r="F52" t="s">
        <v>61</v>
      </c>
      <c r="G52">
        <v>0.91715999999999998</v>
      </c>
      <c r="H52">
        <v>0</v>
      </c>
      <c r="I52">
        <v>1.6180000000000001</v>
      </c>
      <c r="J52">
        <v>1.7090000000000001</v>
      </c>
      <c r="K52">
        <v>2.8260000000000001</v>
      </c>
      <c r="L52">
        <v>2.9049999999999998</v>
      </c>
      <c r="M52">
        <v>1.1040000000000001</v>
      </c>
      <c r="N52">
        <v>1.1659999999999999</v>
      </c>
      <c r="O52">
        <v>0.68</v>
      </c>
      <c r="P52">
        <v>3.2480000000000002</v>
      </c>
      <c r="Q52">
        <v>1</v>
      </c>
      <c r="R52">
        <v>6007</v>
      </c>
      <c r="S52">
        <v>3.8439999999999999</v>
      </c>
      <c r="T52">
        <v>5.77</v>
      </c>
      <c r="U52">
        <v>2.02</v>
      </c>
      <c r="V52">
        <v>47.8</v>
      </c>
      <c r="W52" t="s">
        <v>64</v>
      </c>
      <c r="X52" t="s">
        <v>65</v>
      </c>
      <c r="Y52" t="s">
        <v>59</v>
      </c>
      <c r="Z52">
        <v>0.40400000000000003</v>
      </c>
      <c r="AA52">
        <v>0.65800000000000003</v>
      </c>
      <c r="AB52">
        <v>130</v>
      </c>
      <c r="AC52">
        <v>1.69</v>
      </c>
      <c r="AE52">
        <v>-66.193600000000004</v>
      </c>
      <c r="AF52">
        <v>-13.9908</v>
      </c>
      <c r="AG52" t="s">
        <v>63</v>
      </c>
      <c r="AH52" t="s">
        <v>58</v>
      </c>
      <c r="AI52">
        <v>2939.4780000000001</v>
      </c>
      <c r="AJ52">
        <v>5.4605689999999996</v>
      </c>
      <c r="AK52">
        <v>31500000000</v>
      </c>
      <c r="AL52">
        <v>50.322420000000001</v>
      </c>
      <c r="AN52">
        <v>1.7160489999999999</v>
      </c>
      <c r="AO52">
        <v>65.210750000000004</v>
      </c>
      <c r="AP52">
        <v>85.264470000000003</v>
      </c>
      <c r="AQ52">
        <v>1.989825</v>
      </c>
      <c r="AR52">
        <v>14.707050000000001</v>
      </c>
      <c r="AS52">
        <v>1.335442</v>
      </c>
      <c r="AT52">
        <v>1.752672</v>
      </c>
      <c r="AU52">
        <v>0.46239999999999998</v>
      </c>
      <c r="AV52">
        <v>1.752672</v>
      </c>
      <c r="AW52">
        <v>24.172350000000002</v>
      </c>
      <c r="AX52">
        <v>3.0000200000000001E-2</v>
      </c>
      <c r="AY52">
        <v>3.1634111481657898</v>
      </c>
      <c r="AZ52" s="1">
        <v>0.37550002336502097</v>
      </c>
      <c r="BA52" s="1">
        <v>1.44999995827675E-2</v>
      </c>
      <c r="BB52" s="1">
        <v>0.39000001549720797</v>
      </c>
      <c r="BC52" s="1">
        <v>1.9057283</v>
      </c>
      <c r="BD52" s="2">
        <v>85.264469596439994</v>
      </c>
      <c r="BE52" s="2">
        <f t="shared" si="0"/>
        <v>4.0335620247479937</v>
      </c>
      <c r="BF52" s="2">
        <f t="shared" si="1"/>
        <v>4.965550854135282</v>
      </c>
      <c r="BG52">
        <v>134211</v>
      </c>
      <c r="BH52" s="3">
        <v>21450</v>
      </c>
      <c r="BI52">
        <v>19.022534386889085</v>
      </c>
      <c r="BJ52">
        <v>57946</v>
      </c>
      <c r="BK52">
        <v>7420</v>
      </c>
      <c r="BL52">
        <v>14.685508451094487</v>
      </c>
      <c r="BM52" s="3">
        <v>689.67930000000001</v>
      </c>
      <c r="BN52">
        <v>1059.9332999999999</v>
      </c>
      <c r="BO52">
        <v>60.581028051581242</v>
      </c>
      <c r="BP52">
        <v>6717016603.7641201</v>
      </c>
      <c r="BQ52">
        <v>605530852.56960011</v>
      </c>
      <c r="BR52">
        <v>9.908079266179195</v>
      </c>
      <c r="BS52">
        <v>0.86553190000000002</v>
      </c>
      <c r="BT52">
        <v>1.283844</v>
      </c>
      <c r="BU52">
        <v>3.8437496946505498</v>
      </c>
    </row>
    <row r="53" spans="1:73" x14ac:dyDescent="0.2">
      <c r="A53">
        <v>52</v>
      </c>
      <c r="B53" t="s">
        <v>60</v>
      </c>
      <c r="C53">
        <v>2015</v>
      </c>
      <c r="D53">
        <v>2</v>
      </c>
      <c r="E53">
        <v>1</v>
      </c>
      <c r="F53" t="s">
        <v>61</v>
      </c>
      <c r="G53">
        <v>0.9345</v>
      </c>
      <c r="H53">
        <v>0</v>
      </c>
      <c r="I53">
        <v>3.8050000000000002</v>
      </c>
      <c r="J53">
        <v>3.8180000000000001</v>
      </c>
      <c r="K53">
        <v>4.335</v>
      </c>
      <c r="L53">
        <v>4.3419999999999996</v>
      </c>
      <c r="M53">
        <v>1.8140000000000001</v>
      </c>
      <c r="N53">
        <v>1.8260000000000001</v>
      </c>
      <c r="O53">
        <v>0.68</v>
      </c>
      <c r="P53">
        <v>3.9790000000000001</v>
      </c>
      <c r="Q53">
        <v>0</v>
      </c>
      <c r="R53">
        <v>6200</v>
      </c>
      <c r="S53">
        <v>3.2829999999999999</v>
      </c>
      <c r="T53">
        <v>4.0599999999999996</v>
      </c>
      <c r="U53">
        <v>3.11</v>
      </c>
      <c r="V53">
        <v>46.7</v>
      </c>
      <c r="W53" t="s">
        <v>64</v>
      </c>
      <c r="X53" t="s">
        <v>65</v>
      </c>
      <c r="Y53" t="s">
        <v>59</v>
      </c>
      <c r="Z53">
        <v>0.38</v>
      </c>
      <c r="AA53">
        <v>0.627</v>
      </c>
      <c r="AB53">
        <v>130</v>
      </c>
      <c r="AC53">
        <v>1.69</v>
      </c>
      <c r="AE53">
        <v>-66.193600000000004</v>
      </c>
      <c r="AF53">
        <v>-13.9908</v>
      </c>
      <c r="AG53" t="s">
        <v>63</v>
      </c>
      <c r="AH53" t="s">
        <v>58</v>
      </c>
      <c r="AI53">
        <v>3035.9720000000002</v>
      </c>
      <c r="AJ53">
        <v>4.8571869999999997</v>
      </c>
      <c r="AK53">
        <v>33000000000</v>
      </c>
      <c r="AL53">
        <v>58.066119999999998</v>
      </c>
      <c r="AN53">
        <v>-5.8672659999999999</v>
      </c>
      <c r="AO53">
        <v>64.368510000000001</v>
      </c>
      <c r="AP53">
        <v>67.932850000000002</v>
      </c>
      <c r="AQ53">
        <v>1.680728</v>
      </c>
      <c r="AR53">
        <v>17.495259999999998</v>
      </c>
      <c r="AS53">
        <v>0.60338210000000003</v>
      </c>
      <c r="AT53">
        <v>1.4011830000000001</v>
      </c>
      <c r="AU53">
        <v>0.46239999999999998</v>
      </c>
      <c r="AV53">
        <v>1.4011830000000001</v>
      </c>
      <c r="AW53">
        <v>24.21978</v>
      </c>
      <c r="AX53">
        <v>1.71</v>
      </c>
      <c r="AY53">
        <v>3.1634111481657898</v>
      </c>
      <c r="AZ53" s="1">
        <v>0.37550002336502097</v>
      </c>
      <c r="BA53" s="1">
        <v>1.44999995827675E-2</v>
      </c>
      <c r="BB53" s="1">
        <v>0.39000001549720797</v>
      </c>
      <c r="BC53" s="1">
        <v>1.9057283</v>
      </c>
      <c r="BD53" s="2">
        <v>67.932845187352001</v>
      </c>
      <c r="BE53" s="2">
        <f t="shared" si="0"/>
        <v>17.331624409087993</v>
      </c>
      <c r="BF53" s="2">
        <f t="shared" si="1"/>
        <v>20.326901100914881</v>
      </c>
      <c r="BG53">
        <v>157735</v>
      </c>
      <c r="BH53" s="3">
        <v>23524</v>
      </c>
      <c r="BI53">
        <v>17.527624412305997</v>
      </c>
      <c r="BJ53">
        <v>61815</v>
      </c>
      <c r="BK53">
        <v>3869</v>
      </c>
      <c r="BL53">
        <v>6.6769060849756672</v>
      </c>
      <c r="BM53" s="3">
        <v>556.43020000000001</v>
      </c>
      <c r="BN53">
        <v>133.2491</v>
      </c>
      <c r="BO53">
        <v>19.320443574281555</v>
      </c>
      <c r="BP53">
        <v>7052492040.5209799</v>
      </c>
      <c r="BQ53">
        <v>335475436.75685978</v>
      </c>
      <c r="BR53">
        <v>4.9944113070803509</v>
      </c>
      <c r="BS53">
        <v>2.7882120000000001</v>
      </c>
      <c r="BT53">
        <v>0.56105090000000002</v>
      </c>
      <c r="BU53">
        <v>3.2826988845531302</v>
      </c>
    </row>
    <row r="54" spans="1:73" x14ac:dyDescent="0.2">
      <c r="A54">
        <v>53</v>
      </c>
      <c r="B54" t="s">
        <v>60</v>
      </c>
      <c r="C54">
        <v>2016</v>
      </c>
      <c r="D54">
        <v>2</v>
      </c>
      <c r="E54">
        <v>0</v>
      </c>
      <c r="F54" t="s">
        <v>61</v>
      </c>
      <c r="G54">
        <v>0.95184999999999997</v>
      </c>
      <c r="H54">
        <v>0</v>
      </c>
      <c r="I54">
        <v>3.8050000000000002</v>
      </c>
      <c r="J54">
        <v>3.8180000000000001</v>
      </c>
      <c r="K54">
        <v>4.335</v>
      </c>
      <c r="L54">
        <v>4.3419999999999996</v>
      </c>
      <c r="M54">
        <v>1.8140000000000001</v>
      </c>
      <c r="N54">
        <v>1.8260000000000001</v>
      </c>
      <c r="O54">
        <v>1.31</v>
      </c>
      <c r="P54">
        <v>3.9929999999999999</v>
      </c>
      <c r="Q54">
        <v>0</v>
      </c>
      <c r="R54">
        <v>6355</v>
      </c>
      <c r="S54">
        <v>2.7320000000000002</v>
      </c>
      <c r="T54">
        <v>3.62</v>
      </c>
      <c r="U54">
        <v>3.5</v>
      </c>
      <c r="V54">
        <v>45.3</v>
      </c>
      <c r="W54" t="s">
        <v>64</v>
      </c>
      <c r="X54" t="s">
        <v>65</v>
      </c>
      <c r="Y54" t="s">
        <v>59</v>
      </c>
      <c r="Z54">
        <v>0.377</v>
      </c>
      <c r="AA54">
        <v>0.63</v>
      </c>
      <c r="AB54">
        <v>130</v>
      </c>
      <c r="AC54">
        <v>1.69</v>
      </c>
      <c r="AE54">
        <v>-66.193600000000004</v>
      </c>
      <c r="AF54">
        <v>-13.9908</v>
      </c>
      <c r="AG54" t="s">
        <v>63</v>
      </c>
      <c r="AH54" t="s">
        <v>58</v>
      </c>
      <c r="AI54">
        <v>3118.9140000000002</v>
      </c>
      <c r="AJ54">
        <v>4.2639209999999999</v>
      </c>
      <c r="AK54">
        <v>34400000000</v>
      </c>
      <c r="AL54">
        <v>63.973770000000002</v>
      </c>
      <c r="AN54">
        <v>-5.6192719999999996</v>
      </c>
      <c r="AO54">
        <v>63.623469999999998</v>
      </c>
      <c r="AP54">
        <v>56.401040000000002</v>
      </c>
      <c r="AQ54">
        <v>0.98808010000000002</v>
      </c>
      <c r="AR54">
        <v>17.45825</v>
      </c>
      <c r="AS54">
        <v>0.59326650000000003</v>
      </c>
      <c r="AT54">
        <v>1.2864739999999999</v>
      </c>
      <c r="AU54">
        <v>1.7161</v>
      </c>
      <c r="AV54">
        <v>1.2864739999999999</v>
      </c>
      <c r="AW54">
        <v>24.26153</v>
      </c>
      <c r="AX54">
        <v>0.44000010000000001</v>
      </c>
      <c r="AY54">
        <v>3.66364935683659</v>
      </c>
      <c r="AZ54" s="1">
        <v>0.37550002336502097</v>
      </c>
      <c r="BA54" s="1">
        <v>1.44999995827675E-2</v>
      </c>
      <c r="BB54" s="1">
        <v>0.39000001549720797</v>
      </c>
      <c r="BC54" s="1">
        <v>1.9057283</v>
      </c>
      <c r="BD54" s="2">
        <v>56.401034506491001</v>
      </c>
      <c r="BE54" s="2">
        <f t="shared" si="0"/>
        <v>11.531810680861</v>
      </c>
      <c r="BF54" s="2">
        <f t="shared" si="1"/>
        <v>16.975309438398195</v>
      </c>
      <c r="BG54">
        <v>162711</v>
      </c>
      <c r="BH54" s="3">
        <v>4976</v>
      </c>
      <c r="BI54">
        <v>3.1546581291406475</v>
      </c>
      <c r="BJ54">
        <v>62812</v>
      </c>
      <c r="BK54">
        <v>997</v>
      </c>
      <c r="BL54">
        <v>1.6128771333818652</v>
      </c>
      <c r="BM54" s="3">
        <v>246.49950000000001</v>
      </c>
      <c r="BN54">
        <v>309.9307</v>
      </c>
      <c r="BO54">
        <v>55.699834408700319</v>
      </c>
      <c r="BP54">
        <v>7293345003.4816704</v>
      </c>
      <c r="BQ54">
        <v>240852962.9606905</v>
      </c>
      <c r="BR54">
        <v>3.4151468952653832</v>
      </c>
      <c r="BS54">
        <v>3.7006400000000002E-2</v>
      </c>
      <c r="BT54">
        <v>0.55072259999999995</v>
      </c>
      <c r="BU54">
        <v>2.73197637334468</v>
      </c>
    </row>
    <row r="55" spans="1:73" x14ac:dyDescent="0.2">
      <c r="A55">
        <v>54</v>
      </c>
      <c r="B55" t="s">
        <v>60</v>
      </c>
      <c r="C55">
        <v>2017</v>
      </c>
      <c r="D55">
        <v>2</v>
      </c>
      <c r="E55">
        <v>0</v>
      </c>
      <c r="F55" t="s">
        <v>61</v>
      </c>
      <c r="G55">
        <v>0.96919</v>
      </c>
      <c r="H55">
        <v>0</v>
      </c>
      <c r="I55">
        <v>3.8050000000000002</v>
      </c>
      <c r="J55">
        <v>3.8180000000000001</v>
      </c>
      <c r="K55">
        <v>4.335</v>
      </c>
      <c r="L55">
        <v>4.3419999999999996</v>
      </c>
      <c r="M55">
        <v>1.8140000000000001</v>
      </c>
      <c r="N55">
        <v>1.8260000000000001</v>
      </c>
      <c r="O55">
        <v>1.31</v>
      </c>
      <c r="P55">
        <v>5.3760000000000003</v>
      </c>
      <c r="Q55">
        <v>0</v>
      </c>
      <c r="R55">
        <v>6521.4</v>
      </c>
      <c r="S55">
        <v>2.6960000000000002</v>
      </c>
      <c r="T55">
        <v>2.82</v>
      </c>
      <c r="U55">
        <v>3.65</v>
      </c>
      <c r="V55">
        <v>44.6</v>
      </c>
      <c r="W55" t="s">
        <v>64</v>
      </c>
      <c r="X55" t="s">
        <v>65</v>
      </c>
      <c r="Y55" t="s">
        <v>59</v>
      </c>
      <c r="Z55">
        <v>0.377</v>
      </c>
      <c r="AA55">
        <v>0.63</v>
      </c>
      <c r="AB55">
        <v>130</v>
      </c>
      <c r="AC55">
        <v>1.69</v>
      </c>
      <c r="AE55">
        <v>-66.193600000000004</v>
      </c>
      <c r="AF55">
        <v>-13.9908</v>
      </c>
      <c r="AG55" t="s">
        <v>63</v>
      </c>
      <c r="AH55" t="s">
        <v>58</v>
      </c>
      <c r="AI55">
        <v>3203.0039999999999</v>
      </c>
      <c r="AJ55">
        <v>4.1952059999999998</v>
      </c>
      <c r="AK55">
        <v>35900000000</v>
      </c>
      <c r="AL55">
        <v>64.534710000000004</v>
      </c>
      <c r="AN55">
        <v>-5.0608120000000003</v>
      </c>
      <c r="AO55">
        <v>62.814720000000001</v>
      </c>
      <c r="AP55">
        <v>56.704650000000001</v>
      </c>
      <c r="AQ55">
        <v>1.8994930000000001</v>
      </c>
      <c r="AR55">
        <v>17.021640000000001</v>
      </c>
      <c r="AS55">
        <v>6.8714600000000001E-2</v>
      </c>
      <c r="AT55">
        <v>1.036737</v>
      </c>
      <c r="AU55">
        <v>1.7161</v>
      </c>
      <c r="AV55">
        <v>1.036737</v>
      </c>
      <c r="AW55">
        <v>24.302630000000001</v>
      </c>
      <c r="AX55">
        <v>0.8</v>
      </c>
      <c r="AY55">
        <v>3.66364935683659</v>
      </c>
      <c r="AZ55" s="1">
        <v>0.37550002336502097</v>
      </c>
      <c r="BA55" s="1">
        <v>1.44999995827675E-2</v>
      </c>
      <c r="BB55" s="1">
        <v>0.39000001549720797</v>
      </c>
      <c r="BC55" s="1">
        <v>1.9057283</v>
      </c>
      <c r="BD55" s="2">
        <v>56.704652733913001</v>
      </c>
      <c r="BE55" s="2">
        <f t="shared" si="0"/>
        <v>0.30361822742199962</v>
      </c>
      <c r="BF55" s="2">
        <f t="shared" si="1"/>
        <v>0.53832031642443945</v>
      </c>
      <c r="BG55">
        <v>182524</v>
      </c>
      <c r="BH55" s="3">
        <v>19813</v>
      </c>
      <c r="BI55">
        <v>12.176804272606031</v>
      </c>
      <c r="BJ55">
        <v>66444</v>
      </c>
      <c r="BK55">
        <v>3632</v>
      </c>
      <c r="BL55">
        <v>5.7823345857479467</v>
      </c>
      <c r="BM55" s="3">
        <v>632.78099999999995</v>
      </c>
      <c r="BN55">
        <v>386.28149999999994</v>
      </c>
      <c r="BO55">
        <v>156.70680873592033</v>
      </c>
      <c r="BP55">
        <v>8151861191.7660999</v>
      </c>
      <c r="BQ55">
        <v>858516188.28442955</v>
      </c>
      <c r="BR55">
        <v>11.771226890742099</v>
      </c>
      <c r="BS55">
        <v>0.43661119999999998</v>
      </c>
      <c r="BT55">
        <v>3.5820999999999999E-2</v>
      </c>
      <c r="BU55">
        <v>2.69615526314794</v>
      </c>
    </row>
    <row r="56" spans="1:73" x14ac:dyDescent="0.2">
      <c r="A56">
        <v>55</v>
      </c>
      <c r="B56" t="s">
        <v>60</v>
      </c>
      <c r="C56">
        <v>2018</v>
      </c>
      <c r="D56">
        <v>2</v>
      </c>
      <c r="E56">
        <v>0</v>
      </c>
      <c r="F56" t="s">
        <v>61</v>
      </c>
      <c r="G56">
        <v>0.98653999999999997</v>
      </c>
      <c r="H56">
        <v>0</v>
      </c>
      <c r="I56">
        <v>3.8050000000000002</v>
      </c>
      <c r="J56">
        <v>3.8180000000000001</v>
      </c>
      <c r="K56">
        <v>4.335</v>
      </c>
      <c r="L56">
        <v>4.3419999999999996</v>
      </c>
      <c r="M56">
        <v>1.8140000000000001</v>
      </c>
      <c r="N56">
        <v>1.8260000000000001</v>
      </c>
      <c r="O56">
        <v>1.31</v>
      </c>
      <c r="P56">
        <v>4.8159999999999998</v>
      </c>
      <c r="Q56">
        <v>0</v>
      </c>
      <c r="R56">
        <v>6695.8</v>
      </c>
      <c r="S56">
        <v>2.7519999999999998</v>
      </c>
      <c r="T56">
        <v>2.27</v>
      </c>
      <c r="U56">
        <v>3.52</v>
      </c>
      <c r="V56">
        <v>42.6</v>
      </c>
      <c r="W56" t="s">
        <v>64</v>
      </c>
      <c r="X56" t="s">
        <v>65</v>
      </c>
      <c r="Y56" t="s">
        <v>59</v>
      </c>
      <c r="Z56">
        <v>0.35699999999999998</v>
      </c>
      <c r="AA56">
        <v>0.61399999999999999</v>
      </c>
      <c r="AB56">
        <v>130</v>
      </c>
      <c r="AC56">
        <v>1.69</v>
      </c>
      <c r="AE56">
        <v>-66.193600000000004</v>
      </c>
      <c r="AF56">
        <v>-13.9908</v>
      </c>
      <c r="AG56" t="s">
        <v>63</v>
      </c>
      <c r="AH56" t="s">
        <v>58</v>
      </c>
      <c r="AI56">
        <v>3291.1559999999999</v>
      </c>
      <c r="AJ56">
        <v>4.223624</v>
      </c>
      <c r="AK56">
        <v>37400000000</v>
      </c>
      <c r="AL56">
        <v>67.854290000000006</v>
      </c>
      <c r="AN56">
        <v>-4.2816549999999998</v>
      </c>
      <c r="AO56">
        <v>61.983960000000003</v>
      </c>
      <c r="AP56">
        <v>57.109969999999997</v>
      </c>
      <c r="AQ56">
        <v>0.75052479999999999</v>
      </c>
      <c r="AR56">
        <v>17.525639999999999</v>
      </c>
      <c r="AS56">
        <v>2.8417600000000001E-2</v>
      </c>
      <c r="AT56">
        <v>0.81977979999999995</v>
      </c>
      <c r="AU56">
        <v>1.7161</v>
      </c>
      <c r="AV56">
        <v>0.81977979999999995</v>
      </c>
      <c r="AW56">
        <v>24.344000000000001</v>
      </c>
      <c r="AX56">
        <v>0.55000000000000004</v>
      </c>
      <c r="AY56">
        <v>3.66364935683659</v>
      </c>
      <c r="AZ56" s="1">
        <v>0.37550002336502097</v>
      </c>
      <c r="BA56" s="1">
        <v>1.44999995827675E-2</v>
      </c>
      <c r="BB56" s="1">
        <v>0.39000001549720797</v>
      </c>
      <c r="BC56" s="1" t="s">
        <v>101</v>
      </c>
      <c r="BD56" s="2">
        <v>57.109964633327003</v>
      </c>
      <c r="BE56" s="2">
        <f t="shared" si="0"/>
        <v>0.40531189941400214</v>
      </c>
      <c r="BF56" s="2">
        <f t="shared" si="1"/>
        <v>0.71477714768121625</v>
      </c>
      <c r="BG56">
        <v>195407</v>
      </c>
      <c r="BH56" s="3">
        <v>12883</v>
      </c>
      <c r="BI56">
        <v>7.0582498739891744</v>
      </c>
      <c r="BJ56">
        <v>68426</v>
      </c>
      <c r="BK56">
        <v>1982</v>
      </c>
      <c r="BL56">
        <v>2.9829630967431222</v>
      </c>
      <c r="BM56" s="3">
        <v>386.834</v>
      </c>
      <c r="BN56">
        <v>245.94699999999995</v>
      </c>
      <c r="BO56">
        <v>38.867633509855693</v>
      </c>
      <c r="BP56">
        <v>8415124066.2091503</v>
      </c>
      <c r="BQ56">
        <v>263262874.44305038</v>
      </c>
      <c r="BR56">
        <v>3.2294818109631538</v>
      </c>
      <c r="BS56">
        <v>0.50400350000000005</v>
      </c>
      <c r="BT56">
        <v>5.6008299999999997E-2</v>
      </c>
      <c r="BU56">
        <v>2.7521636016291899</v>
      </c>
    </row>
    <row r="57" spans="1:73" x14ac:dyDescent="0.2">
      <c r="A57">
        <v>56</v>
      </c>
      <c r="B57" t="s">
        <v>60</v>
      </c>
      <c r="C57">
        <v>2019</v>
      </c>
      <c r="D57">
        <v>2</v>
      </c>
      <c r="E57">
        <v>0</v>
      </c>
      <c r="F57" t="s">
        <v>61</v>
      </c>
      <c r="G57">
        <v>0.98653999999999997</v>
      </c>
      <c r="H57">
        <v>0</v>
      </c>
      <c r="I57">
        <v>3.8050000000000002</v>
      </c>
      <c r="J57">
        <v>3.8180000000000001</v>
      </c>
      <c r="K57">
        <v>4.335</v>
      </c>
      <c r="L57">
        <v>4.3419999999999996</v>
      </c>
      <c r="M57">
        <v>1.8140000000000001</v>
      </c>
      <c r="N57">
        <v>1.8260000000000001</v>
      </c>
      <c r="O57">
        <v>1.5609999999999999</v>
      </c>
      <c r="S57">
        <v>0.79700000000000004</v>
      </c>
      <c r="T57">
        <v>1.84</v>
      </c>
      <c r="U57">
        <v>3.82</v>
      </c>
      <c r="V57">
        <v>41.6</v>
      </c>
      <c r="W57" t="s">
        <v>64</v>
      </c>
      <c r="X57" t="s">
        <v>65</v>
      </c>
      <c r="Y57" t="s">
        <v>59</v>
      </c>
      <c r="Z57">
        <v>0.318</v>
      </c>
      <c r="AA57">
        <v>0.56100000000000005</v>
      </c>
      <c r="AB57">
        <v>130</v>
      </c>
      <c r="AC57">
        <v>1.69</v>
      </c>
      <c r="AE57">
        <v>-66.193600000000004</v>
      </c>
      <c r="AF57">
        <v>-13.9908</v>
      </c>
      <c r="AG57" t="s">
        <v>63</v>
      </c>
      <c r="AH57" t="s">
        <v>58</v>
      </c>
      <c r="AI57">
        <v>3317.3710000000001</v>
      </c>
      <c r="AJ57">
        <v>2.2167059999999998</v>
      </c>
      <c r="AK57">
        <v>38200000000</v>
      </c>
      <c r="AL57">
        <v>71.198170000000005</v>
      </c>
      <c r="AN57">
        <v>-3.3673860000000002</v>
      </c>
      <c r="AO57">
        <v>61.196449999999999</v>
      </c>
      <c r="AP57">
        <v>56.397309999999997</v>
      </c>
      <c r="AQ57">
        <v>-0.52973499999999996</v>
      </c>
      <c r="AR57">
        <v>18.143090000000001</v>
      </c>
      <c r="AS57">
        <v>2.0069180000000002</v>
      </c>
      <c r="AT57">
        <v>0.60976560000000002</v>
      </c>
      <c r="AU57">
        <v>2.4367209999999999</v>
      </c>
      <c r="AV57">
        <v>0.60976560000000002</v>
      </c>
      <c r="AW57">
        <v>24.365919999999999</v>
      </c>
      <c r="AX57">
        <v>0.42999989999999999</v>
      </c>
      <c r="AY57">
        <v>3.86295061140226</v>
      </c>
      <c r="AZ57" s="1" t="s">
        <v>101</v>
      </c>
      <c r="BA57" s="1" t="s">
        <v>101</v>
      </c>
      <c r="BB57" s="1" t="s">
        <v>101</v>
      </c>
      <c r="BC57" s="1" t="s">
        <v>101</v>
      </c>
      <c r="BD57" s="2">
        <v>56.397306732967003</v>
      </c>
      <c r="BE57" s="2">
        <f t="shared" si="0"/>
        <v>0.71265790035999999</v>
      </c>
      <c r="BF57" s="2">
        <f t="shared" si="1"/>
        <v>1.2478696229906654</v>
      </c>
      <c r="BG57">
        <v>192453</v>
      </c>
      <c r="BH57" s="3">
        <v>2954</v>
      </c>
      <c r="BI57">
        <v>1.511716571054261</v>
      </c>
      <c r="BJ57">
        <v>65773</v>
      </c>
      <c r="BK57">
        <v>2653</v>
      </c>
      <c r="BL57">
        <v>3.8771811884371439</v>
      </c>
      <c r="BM57" s="3">
        <v>-264.9511</v>
      </c>
      <c r="BN57">
        <v>651.78510000000006</v>
      </c>
      <c r="BO57">
        <v>168.49219561879258</v>
      </c>
      <c r="BP57">
        <v>8123833037.41117</v>
      </c>
      <c r="BQ57">
        <v>291291028.79798031</v>
      </c>
      <c r="BR57">
        <v>3.4615179349245322</v>
      </c>
      <c r="BS57">
        <v>0.61744690000000002</v>
      </c>
      <c r="BT57">
        <v>1.9556480000000001</v>
      </c>
      <c r="BU57">
        <v>0.79651595767028005</v>
      </c>
    </row>
    <row r="58" spans="1:73" x14ac:dyDescent="0.2">
      <c r="A58">
        <v>57</v>
      </c>
      <c r="B58" t="s">
        <v>66</v>
      </c>
      <c r="C58">
        <v>1992</v>
      </c>
      <c r="D58">
        <v>3</v>
      </c>
      <c r="E58">
        <v>0</v>
      </c>
      <c r="F58" t="s">
        <v>67</v>
      </c>
      <c r="G58">
        <v>0.25488</v>
      </c>
      <c r="H58">
        <v>1</v>
      </c>
      <c r="O58">
        <v>1.421</v>
      </c>
      <c r="Q58">
        <v>0</v>
      </c>
      <c r="R58">
        <v>7812.8</v>
      </c>
      <c r="S58">
        <v>-2.1520000000000001</v>
      </c>
      <c r="T58">
        <v>951.96</v>
      </c>
      <c r="U58">
        <v>6.42</v>
      </c>
      <c r="V58">
        <v>53.2</v>
      </c>
      <c r="W58" t="s">
        <v>54</v>
      </c>
      <c r="X58" t="s">
        <v>55</v>
      </c>
      <c r="Y58" t="s">
        <v>59</v>
      </c>
      <c r="Z58">
        <v>0.72899999999999998</v>
      </c>
      <c r="AA58">
        <v>0.84899999999999998</v>
      </c>
      <c r="AB58">
        <v>513</v>
      </c>
      <c r="AC58">
        <v>19</v>
      </c>
      <c r="AE58">
        <v>-47.929200000000002</v>
      </c>
      <c r="AF58">
        <v>-15.780099999999999</v>
      </c>
      <c r="AG58" t="s">
        <v>57</v>
      </c>
      <c r="AH58" t="s">
        <v>58</v>
      </c>
      <c r="AI58">
        <v>5974.59</v>
      </c>
      <c r="AJ58">
        <v>-0.544072</v>
      </c>
      <c r="AK58">
        <v>922000000000</v>
      </c>
      <c r="AL58">
        <v>84.465900000000005</v>
      </c>
      <c r="AN58">
        <v>1.8553390000000001</v>
      </c>
      <c r="AO58">
        <v>63.187719999999999</v>
      </c>
      <c r="AP58">
        <v>19.25338</v>
      </c>
      <c r="AQ58">
        <v>0.62799380000000005</v>
      </c>
      <c r="AR58">
        <v>17.063020000000002</v>
      </c>
      <c r="AT58">
        <v>6.8585229999999999</v>
      </c>
      <c r="AU58">
        <v>2.0192410000000001</v>
      </c>
      <c r="AV58">
        <v>6.8585229999999999</v>
      </c>
      <c r="AW58">
        <v>27.549420000000001</v>
      </c>
      <c r="AY58">
        <v>3.7517865650309701</v>
      </c>
      <c r="AZ58" s="1">
        <v>0.10949999839067499</v>
      </c>
      <c r="BA58" s="1">
        <v>0.244499996304512</v>
      </c>
      <c r="BB58" s="1">
        <v>0.35400000214576699</v>
      </c>
      <c r="BC58" s="1">
        <v>9.6675330000000006</v>
      </c>
      <c r="BD58" s="2">
        <v>18.648081869841</v>
      </c>
      <c r="BE58" s="2"/>
      <c r="BF58" s="2"/>
      <c r="BH58" s="3"/>
      <c r="BM58" s="3">
        <v>1924.3</v>
      </c>
      <c r="BN58">
        <v>1837.1</v>
      </c>
      <c r="BO58">
        <v>2106.7660550458713</v>
      </c>
      <c r="BP58">
        <v>153079043374.71799</v>
      </c>
      <c r="BQ58">
        <v>10853395438.779022</v>
      </c>
      <c r="BR58">
        <v>6.6206514813866306</v>
      </c>
      <c r="BU58">
        <v>-2.2277085370609599</v>
      </c>
    </row>
    <row r="59" spans="1:73" x14ac:dyDescent="0.2">
      <c r="A59">
        <v>58</v>
      </c>
      <c r="B59" t="s">
        <v>66</v>
      </c>
      <c r="C59">
        <v>1993</v>
      </c>
      <c r="D59">
        <v>3</v>
      </c>
      <c r="E59">
        <v>0</v>
      </c>
      <c r="F59" t="s">
        <v>67</v>
      </c>
      <c r="G59">
        <v>0.25488</v>
      </c>
      <c r="H59">
        <v>0</v>
      </c>
      <c r="O59">
        <v>0.27</v>
      </c>
      <c r="Q59">
        <v>0</v>
      </c>
      <c r="R59">
        <v>8166.2</v>
      </c>
      <c r="S59">
        <v>2.9369999999999998</v>
      </c>
      <c r="T59">
        <v>1927.38</v>
      </c>
      <c r="U59">
        <v>6.03</v>
      </c>
      <c r="V59">
        <v>60.1</v>
      </c>
      <c r="W59" t="s">
        <v>54</v>
      </c>
      <c r="X59" t="s">
        <v>55</v>
      </c>
      <c r="Y59" t="s">
        <v>59</v>
      </c>
      <c r="Z59">
        <v>0.73099999999999998</v>
      </c>
      <c r="AA59">
        <v>0.85099999999999998</v>
      </c>
      <c r="AB59">
        <v>513</v>
      </c>
      <c r="AC59">
        <v>19</v>
      </c>
      <c r="AE59">
        <v>-47.929200000000002</v>
      </c>
      <c r="AF59">
        <v>-15.780099999999999</v>
      </c>
      <c r="AG59" t="s">
        <v>57</v>
      </c>
      <c r="AH59" t="s">
        <v>58</v>
      </c>
      <c r="AI59">
        <v>6165.317</v>
      </c>
      <c r="AJ59">
        <v>4.92469</v>
      </c>
      <c r="AK59">
        <v>967000000000</v>
      </c>
      <c r="AL59">
        <v>134.11359999999999</v>
      </c>
      <c r="AN59">
        <v>5.4304000000000002E-3</v>
      </c>
      <c r="AO59">
        <v>62.255960000000002</v>
      </c>
      <c r="AP59">
        <v>19.599319999999999</v>
      </c>
      <c r="AQ59">
        <v>0.35080499999999998</v>
      </c>
      <c r="AR59">
        <v>17.664020000000001</v>
      </c>
      <c r="AS59">
        <v>5.4687619999999999</v>
      </c>
      <c r="AT59">
        <v>7.563917</v>
      </c>
      <c r="AU59">
        <v>7.2900000000000006E-2</v>
      </c>
      <c r="AV59">
        <v>7.563917</v>
      </c>
      <c r="AW59">
        <v>27.597490000000001</v>
      </c>
      <c r="AX59">
        <v>975.42</v>
      </c>
      <c r="AY59">
        <v>2.8378592980784498</v>
      </c>
      <c r="AZ59" s="1">
        <v>0.10949999839067499</v>
      </c>
      <c r="BA59" s="1">
        <v>0.244499996304512</v>
      </c>
      <c r="BB59" s="1">
        <v>0.35400000214576699</v>
      </c>
      <c r="BC59" s="1">
        <v>8.4916590000000003</v>
      </c>
      <c r="BD59" s="2">
        <v>18.995221656344</v>
      </c>
      <c r="BE59" s="2">
        <f t="shared" si="0"/>
        <v>0.34713978650299993</v>
      </c>
      <c r="BF59" s="2">
        <f t="shared" si="1"/>
        <v>1.8615307940299157</v>
      </c>
      <c r="BH59" s="3"/>
      <c r="BM59" s="3">
        <v>801</v>
      </c>
      <c r="BN59">
        <v>1123.3</v>
      </c>
      <c r="BO59">
        <v>58.374473834641172</v>
      </c>
      <c r="BP59">
        <v>162770826167.65601</v>
      </c>
      <c r="BQ59">
        <v>9691782792.9380188</v>
      </c>
      <c r="BR59">
        <v>6.3312276973235129</v>
      </c>
      <c r="BS59">
        <v>0.60100560000000003</v>
      </c>
      <c r="BT59">
        <v>5.4200080000000002</v>
      </c>
      <c r="BU59">
        <v>3.1922993587415198</v>
      </c>
    </row>
    <row r="60" spans="1:73" x14ac:dyDescent="0.2">
      <c r="A60">
        <v>59</v>
      </c>
      <c r="B60" t="s">
        <v>66</v>
      </c>
      <c r="C60">
        <v>1994</v>
      </c>
      <c r="D60">
        <v>3</v>
      </c>
      <c r="E60">
        <v>1</v>
      </c>
      <c r="F60" t="s">
        <v>67</v>
      </c>
      <c r="G60">
        <v>0.25488</v>
      </c>
      <c r="H60">
        <v>0</v>
      </c>
      <c r="O60">
        <v>0.27</v>
      </c>
      <c r="Q60">
        <v>1</v>
      </c>
      <c r="R60">
        <v>8615.7000000000007</v>
      </c>
      <c r="S60">
        <v>3.6280000000000001</v>
      </c>
      <c r="T60">
        <v>2075.89</v>
      </c>
      <c r="W60" t="s">
        <v>54</v>
      </c>
      <c r="X60" t="s">
        <v>55</v>
      </c>
      <c r="Y60" t="s">
        <v>59</v>
      </c>
      <c r="Z60">
        <v>0.73599999999999999</v>
      </c>
      <c r="AA60">
        <v>0.85899999999999999</v>
      </c>
      <c r="AB60">
        <v>513</v>
      </c>
      <c r="AC60">
        <v>19</v>
      </c>
      <c r="AE60">
        <v>-47.929200000000002</v>
      </c>
      <c r="AF60">
        <v>-15.780099999999999</v>
      </c>
      <c r="AG60" t="s">
        <v>57</v>
      </c>
      <c r="AH60" t="s">
        <v>58</v>
      </c>
      <c r="AI60">
        <v>6420.4070000000002</v>
      </c>
      <c r="AJ60">
        <v>5.8528700000000002</v>
      </c>
      <c r="AK60">
        <v>1020000000000</v>
      </c>
      <c r="AL60">
        <v>69.523200000000003</v>
      </c>
      <c r="AN60">
        <v>-0.2194644</v>
      </c>
      <c r="AO60">
        <v>61.208069999999999</v>
      </c>
      <c r="AP60">
        <v>18.674759999999999</v>
      </c>
      <c r="AQ60">
        <v>0.58473090000000005</v>
      </c>
      <c r="AR60">
        <v>17.86572</v>
      </c>
      <c r="AS60">
        <v>0.92818069999999997</v>
      </c>
      <c r="AT60">
        <v>7.6381449999999997</v>
      </c>
      <c r="AU60">
        <v>7.2900000000000006E-2</v>
      </c>
      <c r="AV60">
        <v>7.6381449999999997</v>
      </c>
      <c r="AW60">
        <v>27.65437</v>
      </c>
      <c r="AX60">
        <v>148.50989999999999</v>
      </c>
      <c r="AY60">
        <v>2.8378592980784498</v>
      </c>
      <c r="AZ60" s="1">
        <v>0.158500000834465</v>
      </c>
      <c r="BA60" s="1">
        <v>0.117500007152557</v>
      </c>
      <c r="BB60" s="1">
        <v>0.27600002288818398</v>
      </c>
      <c r="BC60" s="1">
        <v>8.4888110000000001</v>
      </c>
      <c r="BD60" s="2">
        <v>18.109813630329</v>
      </c>
      <c r="BE60" s="2">
        <f t="shared" si="0"/>
        <v>0.8854080260149999</v>
      </c>
      <c r="BF60" s="2">
        <f t="shared" si="1"/>
        <v>4.6612144992753608</v>
      </c>
      <c r="BH60" s="3"/>
      <c r="BM60" s="3">
        <v>2035</v>
      </c>
      <c r="BN60">
        <v>1234</v>
      </c>
      <c r="BO60">
        <v>154.05742821473157</v>
      </c>
      <c r="BP60">
        <v>185971886110.14999</v>
      </c>
      <c r="BQ60">
        <v>23201059942.493988</v>
      </c>
      <c r="BR60">
        <v>14.253819611750698</v>
      </c>
      <c r="BS60">
        <v>0.2016945</v>
      </c>
      <c r="BT60">
        <v>0.94520950000000004</v>
      </c>
      <c r="BU60">
        <v>4.1375087845423097</v>
      </c>
    </row>
    <row r="61" spans="1:73" x14ac:dyDescent="0.2">
      <c r="A61">
        <v>60</v>
      </c>
      <c r="B61" t="s">
        <v>66</v>
      </c>
      <c r="C61">
        <v>1995</v>
      </c>
      <c r="D61">
        <v>3</v>
      </c>
      <c r="E61">
        <v>0</v>
      </c>
      <c r="F61" t="s">
        <v>67</v>
      </c>
      <c r="G61">
        <v>0.25488</v>
      </c>
      <c r="H61">
        <v>0</v>
      </c>
      <c r="O61">
        <v>0.27</v>
      </c>
      <c r="P61">
        <v>5.5110000000000001</v>
      </c>
      <c r="Q61">
        <v>0</v>
      </c>
      <c r="R61">
        <v>8951.7000000000007</v>
      </c>
      <c r="S61">
        <v>2.7490000000000001</v>
      </c>
      <c r="T61">
        <v>66.010000000000005</v>
      </c>
      <c r="U61">
        <v>6.42</v>
      </c>
      <c r="V61">
        <v>59.6</v>
      </c>
      <c r="W61" t="s">
        <v>54</v>
      </c>
      <c r="X61" t="s">
        <v>55</v>
      </c>
      <c r="Y61" t="s">
        <v>59</v>
      </c>
      <c r="Z61">
        <v>0.74099999999999999</v>
      </c>
      <c r="AA61">
        <v>0.86299999999999999</v>
      </c>
      <c r="AB61">
        <v>513</v>
      </c>
      <c r="AC61">
        <v>19</v>
      </c>
      <c r="AE61">
        <v>-47.929200000000002</v>
      </c>
      <c r="AF61">
        <v>-15.780099999999999</v>
      </c>
      <c r="AG61" t="s">
        <v>57</v>
      </c>
      <c r="AH61" t="s">
        <v>58</v>
      </c>
      <c r="AI61">
        <v>6584.7389999999996</v>
      </c>
      <c r="AJ61">
        <v>4.2237939999999998</v>
      </c>
      <c r="AK61">
        <v>1070000000000</v>
      </c>
      <c r="AL61">
        <v>43.494529999999997</v>
      </c>
      <c r="AN61">
        <v>-2.3573659999999999</v>
      </c>
      <c r="AO61">
        <v>60.02899</v>
      </c>
      <c r="AP61">
        <v>16.984459999999999</v>
      </c>
      <c r="AQ61">
        <v>0.63158579999999998</v>
      </c>
      <c r="AR61">
        <v>20.92793</v>
      </c>
      <c r="AS61">
        <v>1.6290770000000001</v>
      </c>
      <c r="AT61">
        <v>4.1898059999999999</v>
      </c>
      <c r="AU61">
        <v>7.2900000000000006E-2</v>
      </c>
      <c r="AV61">
        <v>4.1898059999999999</v>
      </c>
      <c r="AW61">
        <v>27.695740000000001</v>
      </c>
      <c r="AX61">
        <v>2009.88</v>
      </c>
      <c r="AY61">
        <v>2.8378592980784498</v>
      </c>
      <c r="AZ61" s="1">
        <v>0.158500000834465</v>
      </c>
      <c r="BA61" s="1">
        <v>0.117500007152557</v>
      </c>
      <c r="BB61" s="1">
        <v>0.27600002288818398</v>
      </c>
      <c r="BC61" s="1">
        <v>7.2857623</v>
      </c>
      <c r="BD61" s="2">
        <v>16.715021160526</v>
      </c>
      <c r="BE61" s="2">
        <f t="shared" si="0"/>
        <v>1.3947924698030008</v>
      </c>
      <c r="BF61" s="2">
        <f t="shared" si="1"/>
        <v>7.7018598770508806</v>
      </c>
      <c r="BH61" s="3"/>
      <c r="BM61" s="3">
        <v>3475</v>
      </c>
      <c r="BN61">
        <v>1440</v>
      </c>
      <c r="BO61">
        <v>70.761670761670757</v>
      </c>
      <c r="BP61">
        <v>199528532647.194</v>
      </c>
      <c r="BQ61">
        <v>13556646537.044006</v>
      </c>
      <c r="BR61">
        <v>7.2896214694593615</v>
      </c>
      <c r="BS61">
        <v>3.062208</v>
      </c>
      <c r="BT61">
        <v>1.5779860000000001</v>
      </c>
      <c r="BU61">
        <v>2.5595233870310499</v>
      </c>
    </row>
    <row r="62" spans="1:73" x14ac:dyDescent="0.2">
      <c r="A62">
        <v>61</v>
      </c>
      <c r="B62" t="s">
        <v>66</v>
      </c>
      <c r="C62">
        <v>1996</v>
      </c>
      <c r="D62">
        <v>3</v>
      </c>
      <c r="E62">
        <v>0</v>
      </c>
      <c r="F62" t="s">
        <v>67</v>
      </c>
      <c r="G62">
        <v>0.25488</v>
      </c>
      <c r="H62">
        <v>0</v>
      </c>
      <c r="O62">
        <v>0.27</v>
      </c>
      <c r="P62">
        <v>5.73</v>
      </c>
      <c r="Q62">
        <v>0</v>
      </c>
      <c r="R62">
        <v>9124.5</v>
      </c>
      <c r="S62">
        <v>0.59599999999999997</v>
      </c>
      <c r="T62">
        <v>15.76</v>
      </c>
      <c r="U62">
        <v>7.25</v>
      </c>
      <c r="V62">
        <v>59.9</v>
      </c>
      <c r="W62" t="s">
        <v>54</v>
      </c>
      <c r="X62" t="s">
        <v>55</v>
      </c>
      <c r="Y62" t="s">
        <v>59</v>
      </c>
      <c r="Z62">
        <v>0.74099999999999999</v>
      </c>
      <c r="AA62">
        <v>0.86599999999999999</v>
      </c>
      <c r="AB62">
        <v>513</v>
      </c>
      <c r="AC62">
        <v>19</v>
      </c>
      <c r="AE62">
        <v>-47.929200000000002</v>
      </c>
      <c r="AF62">
        <v>-15.780099999999999</v>
      </c>
      <c r="AG62" t="s">
        <v>57</v>
      </c>
      <c r="AH62" t="s">
        <v>58</v>
      </c>
      <c r="AI62">
        <v>6624.1009999999997</v>
      </c>
      <c r="AJ62">
        <v>2.2088640000000002</v>
      </c>
      <c r="AK62">
        <v>1090000000000</v>
      </c>
      <c r="AL62">
        <v>40.778489999999998</v>
      </c>
      <c r="AN62">
        <v>-2.7336870000000002</v>
      </c>
      <c r="AO62">
        <v>58.950009999999999</v>
      </c>
      <c r="AP62">
        <v>15.635590000000001</v>
      </c>
      <c r="AQ62">
        <v>1.475965</v>
      </c>
      <c r="AR62">
        <v>19.750830000000001</v>
      </c>
      <c r="AS62">
        <v>2.0149300000000001</v>
      </c>
      <c r="AT62">
        <v>2.7574749999999999</v>
      </c>
      <c r="AU62">
        <v>7.2900000000000006E-2</v>
      </c>
      <c r="AV62">
        <v>2.7574749999999999</v>
      </c>
      <c r="AW62">
        <v>27.717580000000002</v>
      </c>
      <c r="AX62">
        <v>50.25</v>
      </c>
      <c r="AY62">
        <v>2.8378592980784498</v>
      </c>
      <c r="AZ62" s="1">
        <v>0.158500000834465</v>
      </c>
      <c r="BA62" s="1">
        <v>0.117500007152557</v>
      </c>
      <c r="BB62" s="1">
        <v>0.27600002288818398</v>
      </c>
      <c r="BC62" s="1">
        <v>6.9075046000000002</v>
      </c>
      <c r="BD62" s="2">
        <v>15.576641857445001</v>
      </c>
      <c r="BE62" s="2">
        <f t="shared" si="0"/>
        <v>1.138379303080999</v>
      </c>
      <c r="BF62" s="2">
        <f t="shared" si="1"/>
        <v>6.8105166732865552</v>
      </c>
      <c r="BH62" s="3"/>
      <c r="BM62" s="3">
        <v>11667</v>
      </c>
      <c r="BN62">
        <v>8192</v>
      </c>
      <c r="BO62">
        <v>235.74100719424462</v>
      </c>
      <c r="BP62">
        <v>201913938435.65799</v>
      </c>
      <c r="BQ62">
        <v>2385405788.4639893</v>
      </c>
      <c r="BR62">
        <v>1.1955211401678874</v>
      </c>
      <c r="BS62">
        <v>1.1770989999999999</v>
      </c>
      <c r="BT62">
        <v>1.9617599999999999</v>
      </c>
      <c r="BU62">
        <v>0.59776325589535895</v>
      </c>
    </row>
    <row r="63" spans="1:73" x14ac:dyDescent="0.2">
      <c r="A63">
        <v>62</v>
      </c>
      <c r="B63" t="s">
        <v>66</v>
      </c>
      <c r="C63">
        <v>1997</v>
      </c>
      <c r="D63">
        <v>3</v>
      </c>
      <c r="E63">
        <v>0</v>
      </c>
      <c r="F63" t="s">
        <v>67</v>
      </c>
      <c r="G63">
        <v>0.25488</v>
      </c>
      <c r="H63">
        <v>0</v>
      </c>
      <c r="O63">
        <v>0.27</v>
      </c>
      <c r="P63">
        <v>4.4080000000000004</v>
      </c>
      <c r="Q63">
        <v>0</v>
      </c>
      <c r="R63">
        <v>9410</v>
      </c>
      <c r="S63">
        <v>1.7909999999999999</v>
      </c>
      <c r="T63">
        <v>6.93</v>
      </c>
      <c r="U63">
        <v>8.16</v>
      </c>
      <c r="V63">
        <v>59.8</v>
      </c>
      <c r="W63" t="s">
        <v>54</v>
      </c>
      <c r="X63" t="s">
        <v>55</v>
      </c>
      <c r="Y63" t="s">
        <v>59</v>
      </c>
      <c r="Z63">
        <v>0.74099999999999999</v>
      </c>
      <c r="AA63">
        <v>0.86599999999999999</v>
      </c>
      <c r="AB63">
        <v>513</v>
      </c>
      <c r="AC63">
        <v>19</v>
      </c>
      <c r="AE63">
        <v>-47.929200000000002</v>
      </c>
      <c r="AF63">
        <v>-15.780099999999999</v>
      </c>
      <c r="AG63" t="s">
        <v>57</v>
      </c>
      <c r="AH63" t="s">
        <v>58</v>
      </c>
      <c r="AI63">
        <v>6742.7120000000004</v>
      </c>
      <c r="AJ63">
        <v>3.3948459999999998</v>
      </c>
      <c r="AK63">
        <v>1130000000000</v>
      </c>
      <c r="AL63">
        <v>40.852240000000002</v>
      </c>
      <c r="AN63">
        <v>-3.467438</v>
      </c>
      <c r="AO63">
        <v>57.774149999999999</v>
      </c>
      <c r="AP63">
        <v>16.57621</v>
      </c>
      <c r="AQ63">
        <v>2.150452</v>
      </c>
      <c r="AR63">
        <v>19.535299999999999</v>
      </c>
      <c r="AS63">
        <v>1.1859820000000001</v>
      </c>
      <c r="AT63">
        <v>1.9358599999999999</v>
      </c>
      <c r="AU63">
        <v>7.2900000000000006E-2</v>
      </c>
      <c r="AV63">
        <v>1.9358599999999999</v>
      </c>
      <c r="AW63">
        <v>27.750969999999999</v>
      </c>
      <c r="AX63">
        <v>8.83</v>
      </c>
      <c r="AY63">
        <v>2.8378592980784498</v>
      </c>
      <c r="AZ63" s="1">
        <v>0.158500000834465</v>
      </c>
      <c r="BA63" s="1">
        <v>0.117500007152557</v>
      </c>
      <c r="BB63" s="1">
        <v>0.27600002288818398</v>
      </c>
      <c r="BC63" s="1">
        <v>6.6525699999999999</v>
      </c>
      <c r="BD63" s="2">
        <v>16.529871430894001</v>
      </c>
      <c r="BE63" s="2">
        <f t="shared" si="0"/>
        <v>0.95322957344900061</v>
      </c>
      <c r="BF63" s="2">
        <f t="shared" si="1"/>
        <v>6.1196089771647131</v>
      </c>
      <c r="BH63" s="3"/>
      <c r="BM63" s="3">
        <v>18608</v>
      </c>
      <c r="BN63">
        <v>6941</v>
      </c>
      <c r="BO63">
        <v>59.492585926116398</v>
      </c>
      <c r="BP63">
        <v>218911284724.55099</v>
      </c>
      <c r="BQ63">
        <v>16997346288.893005</v>
      </c>
      <c r="BR63">
        <v>8.4181143810977606</v>
      </c>
      <c r="BS63">
        <v>0.21553040000000001</v>
      </c>
      <c r="BT63">
        <v>1.1928399999999999</v>
      </c>
      <c r="BU63">
        <v>1.7906034360830201</v>
      </c>
    </row>
    <row r="64" spans="1:73" x14ac:dyDescent="0.2">
      <c r="A64">
        <v>63</v>
      </c>
      <c r="B64" t="s">
        <v>66</v>
      </c>
      <c r="C64">
        <v>1998</v>
      </c>
      <c r="D64">
        <v>3</v>
      </c>
      <c r="E64">
        <v>1</v>
      </c>
      <c r="F64" t="s">
        <v>67</v>
      </c>
      <c r="G64">
        <v>0.25488</v>
      </c>
      <c r="H64">
        <v>1</v>
      </c>
      <c r="O64">
        <v>0.27</v>
      </c>
      <c r="P64">
        <v>5.2850000000000001</v>
      </c>
      <c r="Q64">
        <v>1</v>
      </c>
      <c r="R64">
        <v>9419.1</v>
      </c>
      <c r="S64">
        <v>-1.1839999999999999</v>
      </c>
      <c r="T64">
        <v>3.2</v>
      </c>
      <c r="U64">
        <v>9.42</v>
      </c>
      <c r="V64">
        <v>59.6</v>
      </c>
      <c r="W64" t="s">
        <v>54</v>
      </c>
      <c r="X64" t="s">
        <v>55</v>
      </c>
      <c r="Y64" t="s">
        <v>59</v>
      </c>
      <c r="Z64">
        <v>0.74099999999999999</v>
      </c>
      <c r="AA64">
        <v>0.86599999999999999</v>
      </c>
      <c r="AB64">
        <v>513</v>
      </c>
      <c r="AC64">
        <v>19</v>
      </c>
      <c r="AE64">
        <v>-47.929200000000002</v>
      </c>
      <c r="AF64">
        <v>-15.780099999999999</v>
      </c>
      <c r="AG64" t="s">
        <v>57</v>
      </c>
      <c r="AH64" t="s">
        <v>58</v>
      </c>
      <c r="AI64">
        <v>6662.8540000000003</v>
      </c>
      <c r="AJ64">
        <v>0.33809790000000001</v>
      </c>
      <c r="AK64">
        <v>1130000000000</v>
      </c>
      <c r="AL64">
        <v>29.532260000000001</v>
      </c>
      <c r="AN64">
        <v>-3.9117989999999998</v>
      </c>
      <c r="AO64">
        <v>56.55986</v>
      </c>
      <c r="AP64">
        <v>16.438590000000001</v>
      </c>
      <c r="AQ64">
        <v>3.3408869999999999</v>
      </c>
      <c r="AR64">
        <v>20.070530000000002</v>
      </c>
      <c r="AS64">
        <v>3.0567479999999998</v>
      </c>
      <c r="AT64">
        <v>1.163151</v>
      </c>
      <c r="AU64">
        <v>7.2900000000000006E-2</v>
      </c>
      <c r="AV64">
        <v>1.163151</v>
      </c>
      <c r="AW64">
        <v>27.754339999999999</v>
      </c>
      <c r="AX64">
        <v>3.73</v>
      </c>
      <c r="AY64">
        <v>2.8378592980784498</v>
      </c>
      <c r="AZ64" s="1">
        <v>0.15700000524520899</v>
      </c>
      <c r="BA64" s="1">
        <v>9.6500001847744002E-2</v>
      </c>
      <c r="BB64" s="1">
        <v>0.25350001454353299</v>
      </c>
      <c r="BC64" s="1">
        <v>8.1559799999999996</v>
      </c>
      <c r="BD64" s="2">
        <v>16.550804396455</v>
      </c>
      <c r="BE64" s="2">
        <f t="shared" si="0"/>
        <v>2.093296556099844E-2</v>
      </c>
      <c r="BF64" s="2">
        <f t="shared" si="1"/>
        <v>0.12663719526502271</v>
      </c>
      <c r="BH64" s="3"/>
      <c r="BM64" s="3">
        <v>29192</v>
      </c>
      <c r="BN64">
        <v>10584</v>
      </c>
      <c r="BO64">
        <v>56.87876182287188</v>
      </c>
      <c r="BP64">
        <v>218552618745.46899</v>
      </c>
      <c r="BQ64">
        <v>358665979.08200073</v>
      </c>
      <c r="BR64">
        <v>0.16384079036094396</v>
      </c>
      <c r="BS64">
        <v>0.53523639999999995</v>
      </c>
      <c r="BT64">
        <v>2.9749680000000001</v>
      </c>
      <c r="BU64">
        <v>-1.18436477142068</v>
      </c>
    </row>
    <row r="65" spans="1:73" x14ac:dyDescent="0.2">
      <c r="A65">
        <v>64</v>
      </c>
      <c r="B65" t="s">
        <v>66</v>
      </c>
      <c r="C65">
        <v>1999</v>
      </c>
      <c r="D65">
        <v>3</v>
      </c>
      <c r="E65">
        <v>0</v>
      </c>
      <c r="F65" t="s">
        <v>67</v>
      </c>
      <c r="G65">
        <v>0.25488</v>
      </c>
      <c r="H65">
        <v>0</v>
      </c>
      <c r="O65">
        <v>0.27</v>
      </c>
      <c r="P65">
        <v>5.2850000000000001</v>
      </c>
      <c r="Q65">
        <v>0</v>
      </c>
      <c r="R65">
        <v>9441.7999999999993</v>
      </c>
      <c r="S65">
        <v>-1.0089999999999999</v>
      </c>
      <c r="T65">
        <v>4.8600000000000003</v>
      </c>
      <c r="U65">
        <v>10.210000000000001</v>
      </c>
      <c r="V65">
        <v>59</v>
      </c>
      <c r="W65" t="s">
        <v>54</v>
      </c>
      <c r="X65" t="s">
        <v>55</v>
      </c>
      <c r="Y65" t="s">
        <v>59</v>
      </c>
      <c r="Z65">
        <v>0.74099999999999999</v>
      </c>
      <c r="AA65">
        <v>0.86599999999999999</v>
      </c>
      <c r="AB65">
        <v>513</v>
      </c>
      <c r="AC65">
        <v>19</v>
      </c>
      <c r="AE65">
        <v>-47.929200000000002</v>
      </c>
      <c r="AF65">
        <v>-15.780099999999999</v>
      </c>
      <c r="AG65" t="s">
        <v>57</v>
      </c>
      <c r="AH65" t="s">
        <v>58</v>
      </c>
      <c r="AI65">
        <v>6595.616</v>
      </c>
      <c r="AJ65">
        <v>0.46793760000000001</v>
      </c>
      <c r="AK65">
        <v>1140000000000</v>
      </c>
      <c r="AL65">
        <v>29.826910000000002</v>
      </c>
      <c r="AN65">
        <v>-4.3052869999999999</v>
      </c>
      <c r="AO65">
        <v>55.386690000000002</v>
      </c>
      <c r="AP65">
        <v>20.98217</v>
      </c>
      <c r="AQ65">
        <v>4.7337699999999998</v>
      </c>
      <c r="AR65">
        <v>19.782689999999999</v>
      </c>
      <c r="AS65">
        <v>0.1298397</v>
      </c>
      <c r="AT65">
        <v>1.5810379999999999</v>
      </c>
      <c r="AU65">
        <v>7.2900000000000006E-2</v>
      </c>
      <c r="AV65">
        <v>1.5810379999999999</v>
      </c>
      <c r="AW65">
        <v>27.75902</v>
      </c>
      <c r="AX65">
        <v>1.66</v>
      </c>
      <c r="AY65">
        <v>2.8378592980784498</v>
      </c>
      <c r="AZ65" s="1">
        <v>0.15700000524520899</v>
      </c>
      <c r="BA65" s="1">
        <v>9.6500001847744002E-2</v>
      </c>
      <c r="BB65" s="1">
        <v>0.25350001454353299</v>
      </c>
      <c r="BC65" s="1">
        <v>7.1329180000000001</v>
      </c>
      <c r="BD65" s="2">
        <v>21.079168519812001</v>
      </c>
      <c r="BE65" s="2">
        <f t="shared" si="0"/>
        <v>4.5283641233570009</v>
      </c>
      <c r="BF65" s="2">
        <f t="shared" si="1"/>
        <v>27.360386932776066</v>
      </c>
      <c r="BH65" s="3"/>
      <c r="BM65" s="3">
        <v>26886</v>
      </c>
      <c r="BN65">
        <v>2306</v>
      </c>
      <c r="BO65">
        <v>7.8994244998629766</v>
      </c>
      <c r="BP65">
        <v>199155412986.405</v>
      </c>
      <c r="BQ65">
        <v>19397205759.063995</v>
      </c>
      <c r="BR65">
        <v>8.8753023735919587</v>
      </c>
      <c r="BS65">
        <v>0.28784179999999998</v>
      </c>
      <c r="BT65">
        <v>0.17522750000000001</v>
      </c>
      <c r="BU65">
        <v>-1.0091373025138499</v>
      </c>
    </row>
    <row r="66" spans="1:73" x14ac:dyDescent="0.2">
      <c r="A66">
        <v>65</v>
      </c>
      <c r="B66" t="s">
        <v>66</v>
      </c>
      <c r="C66">
        <v>2000</v>
      </c>
      <c r="D66">
        <v>3</v>
      </c>
      <c r="E66">
        <v>0</v>
      </c>
      <c r="F66" t="s">
        <v>67</v>
      </c>
      <c r="G66">
        <v>0.25488</v>
      </c>
      <c r="H66">
        <v>0</v>
      </c>
      <c r="O66">
        <v>0.27</v>
      </c>
      <c r="P66">
        <v>5.1829999999999998</v>
      </c>
      <c r="Q66">
        <v>0</v>
      </c>
      <c r="R66">
        <v>9834.4</v>
      </c>
      <c r="S66">
        <v>2.9119999999999999</v>
      </c>
      <c r="T66">
        <v>7.04</v>
      </c>
      <c r="W66" t="s">
        <v>54</v>
      </c>
      <c r="X66" t="s">
        <v>55</v>
      </c>
      <c r="Y66" t="s">
        <v>59</v>
      </c>
      <c r="Z66">
        <v>0.749</v>
      </c>
      <c r="AA66">
        <v>0.87</v>
      </c>
      <c r="AB66">
        <v>513</v>
      </c>
      <c r="AC66">
        <v>19</v>
      </c>
      <c r="AE66">
        <v>-47.929200000000002</v>
      </c>
      <c r="AF66">
        <v>-15.780099999999999</v>
      </c>
      <c r="AG66" t="s">
        <v>57</v>
      </c>
      <c r="AH66" t="s">
        <v>58</v>
      </c>
      <c r="AI66">
        <v>6787.6689999999999</v>
      </c>
      <c r="AJ66">
        <v>4.3879489999999999</v>
      </c>
      <c r="AK66">
        <v>1190000000000</v>
      </c>
      <c r="AL66">
        <v>31.140989999999999</v>
      </c>
      <c r="AN66">
        <v>-3.8080259999999999</v>
      </c>
      <c r="AO66">
        <v>54.290900000000001</v>
      </c>
      <c r="AP66">
        <v>22.639759999999999</v>
      </c>
      <c r="AQ66">
        <v>5.0339169999999998</v>
      </c>
      <c r="AR66">
        <v>18.767849999999999</v>
      </c>
      <c r="AS66">
        <v>3.9200119999999998</v>
      </c>
      <c r="AT66">
        <v>1.951608</v>
      </c>
      <c r="AU66">
        <v>7.2900000000000006E-2</v>
      </c>
      <c r="AV66">
        <v>1.951608</v>
      </c>
      <c r="AW66">
        <v>27.801960000000001</v>
      </c>
      <c r="AX66">
        <v>2.1800000000000002</v>
      </c>
      <c r="AY66">
        <v>2.8378592980784498</v>
      </c>
      <c r="AZ66" s="1">
        <v>0.15700000524520899</v>
      </c>
      <c r="BA66" s="1">
        <v>9.6500001847744002E-2</v>
      </c>
      <c r="BB66" s="1">
        <v>0.25350001454353299</v>
      </c>
      <c r="BC66" s="1">
        <v>7.1329180000000001</v>
      </c>
      <c r="BD66" s="2">
        <v>22.639761358975999</v>
      </c>
      <c r="BE66" s="2">
        <f t="shared" si="0"/>
        <v>1.5605928391639985</v>
      </c>
      <c r="BF66" s="2">
        <f t="shared" si="1"/>
        <v>7.4034838598933366</v>
      </c>
      <c r="BH66" s="3"/>
      <c r="BM66" s="3">
        <v>30497.652699999999</v>
      </c>
      <c r="BN66">
        <v>3611.6526999999987</v>
      </c>
      <c r="BO66">
        <v>13.43320947705125</v>
      </c>
      <c r="BP66">
        <v>208741144577.87399</v>
      </c>
      <c r="BQ66">
        <v>9585731591.4689941</v>
      </c>
      <c r="BR66">
        <v>4.813191591294256</v>
      </c>
      <c r="BS66">
        <v>1.014845</v>
      </c>
      <c r="BT66">
        <v>3.9209640000000001</v>
      </c>
      <c r="BU66">
        <v>2.9118264351474199</v>
      </c>
    </row>
    <row r="67" spans="1:73" x14ac:dyDescent="0.2">
      <c r="A67">
        <v>66</v>
      </c>
      <c r="B67" t="s">
        <v>66</v>
      </c>
      <c r="C67">
        <v>2001</v>
      </c>
      <c r="D67">
        <v>3</v>
      </c>
      <c r="E67">
        <v>0</v>
      </c>
      <c r="F67" t="s">
        <v>67</v>
      </c>
      <c r="G67">
        <v>0.25488</v>
      </c>
      <c r="H67">
        <v>1</v>
      </c>
      <c r="O67">
        <v>0.27</v>
      </c>
      <c r="P67">
        <v>5.843</v>
      </c>
      <c r="Q67">
        <v>0</v>
      </c>
      <c r="R67">
        <v>9953.2999999999993</v>
      </c>
      <c r="S67">
        <v>1.2999999999999999E-2</v>
      </c>
      <c r="T67">
        <v>6.84</v>
      </c>
      <c r="U67">
        <v>9.61</v>
      </c>
      <c r="V67">
        <v>58.4</v>
      </c>
      <c r="W67" t="s">
        <v>54</v>
      </c>
      <c r="X67" t="s">
        <v>55</v>
      </c>
      <c r="Y67" t="s">
        <v>59</v>
      </c>
      <c r="Z67">
        <v>0.749</v>
      </c>
      <c r="AA67">
        <v>0.87</v>
      </c>
      <c r="AB67">
        <v>513</v>
      </c>
      <c r="AC67">
        <v>19</v>
      </c>
      <c r="AE67">
        <v>-47.929200000000002</v>
      </c>
      <c r="AF67">
        <v>-15.780099999999999</v>
      </c>
      <c r="AG67" t="s">
        <v>57</v>
      </c>
      <c r="AH67" t="s">
        <v>58</v>
      </c>
      <c r="AI67">
        <v>6788.5770000000002</v>
      </c>
      <c r="AJ67">
        <v>1.389896</v>
      </c>
      <c r="AK67">
        <v>1200000000000</v>
      </c>
      <c r="AL67">
        <v>29.00404</v>
      </c>
      <c r="AN67">
        <v>-4.2356590000000001</v>
      </c>
      <c r="AO67">
        <v>53.442149999999998</v>
      </c>
      <c r="AP67">
        <v>26.93629</v>
      </c>
      <c r="AQ67">
        <v>4.1475929999999996</v>
      </c>
      <c r="AR67">
        <v>19.34329</v>
      </c>
      <c r="AS67">
        <v>2.9980530000000001</v>
      </c>
      <c r="AT67">
        <v>1.9227879999999999</v>
      </c>
      <c r="AU67">
        <v>7.2900000000000006E-2</v>
      </c>
      <c r="AV67">
        <v>1.9227879999999999</v>
      </c>
      <c r="AW67">
        <v>27.815770000000001</v>
      </c>
      <c r="AX67">
        <v>0.19999980000000001</v>
      </c>
      <c r="AY67">
        <v>2.8378592980784498</v>
      </c>
      <c r="AZ67" s="1">
        <v>0.15700000524520899</v>
      </c>
      <c r="BA67" s="1">
        <v>9.6500001847744002E-2</v>
      </c>
      <c r="BB67" s="1">
        <v>0.25350001454353299</v>
      </c>
      <c r="BC67" s="1">
        <v>7.1329180000000001</v>
      </c>
      <c r="BD67" s="2">
        <v>26.936285024943</v>
      </c>
      <c r="BE67" s="2">
        <f t="shared" si="0"/>
        <v>4.2965236659670012</v>
      </c>
      <c r="BF67" s="2">
        <f t="shared" si="1"/>
        <v>18.977778068599456</v>
      </c>
      <c r="BH67" s="3"/>
      <c r="BM67" s="3">
        <v>24714.939299999998</v>
      </c>
      <c r="BN67">
        <v>5782.7134000000005</v>
      </c>
      <c r="BO67">
        <v>18.961175330060733</v>
      </c>
      <c r="BP67">
        <v>211464121694.51801</v>
      </c>
      <c r="BQ67">
        <v>2722977116.6440125</v>
      </c>
      <c r="BR67">
        <v>1.3044755130333998</v>
      </c>
      <c r="BS67">
        <v>0.57544899999999999</v>
      </c>
      <c r="BT67">
        <v>2.8984559999999999</v>
      </c>
      <c r="BU67">
        <v>1.3370860675166799E-2</v>
      </c>
    </row>
    <row r="68" spans="1:73" x14ac:dyDescent="0.2">
      <c r="A68">
        <v>67</v>
      </c>
      <c r="B68" t="s">
        <v>66</v>
      </c>
      <c r="C68">
        <v>2002</v>
      </c>
      <c r="D68">
        <v>3</v>
      </c>
      <c r="E68">
        <v>0</v>
      </c>
      <c r="F68" t="s">
        <v>67</v>
      </c>
      <c r="G68">
        <v>0.25488</v>
      </c>
      <c r="H68">
        <v>1</v>
      </c>
      <c r="O68">
        <v>-0.185</v>
      </c>
      <c r="P68">
        <v>5.8079999999999998</v>
      </c>
      <c r="Q68">
        <v>1</v>
      </c>
      <c r="R68">
        <v>10245.1</v>
      </c>
      <c r="S68">
        <v>1.7090000000000001</v>
      </c>
      <c r="T68">
        <v>8.4499999999999993</v>
      </c>
      <c r="U68">
        <v>9.3699999999999992</v>
      </c>
      <c r="V68">
        <v>58.1</v>
      </c>
      <c r="W68" t="s">
        <v>54</v>
      </c>
      <c r="X68" t="s">
        <v>55</v>
      </c>
      <c r="Y68" t="s">
        <v>59</v>
      </c>
      <c r="Z68">
        <v>0.748</v>
      </c>
      <c r="AA68">
        <v>0.86899999999999999</v>
      </c>
      <c r="AB68">
        <v>513</v>
      </c>
      <c r="AC68">
        <v>19</v>
      </c>
      <c r="AE68">
        <v>-47.929200000000002</v>
      </c>
      <c r="AF68">
        <v>-15.780099999999999</v>
      </c>
      <c r="AG68" t="s">
        <v>57</v>
      </c>
      <c r="AH68" t="s">
        <v>58</v>
      </c>
      <c r="AI68">
        <v>6904.625</v>
      </c>
      <c r="AJ68">
        <v>3.0534620000000001</v>
      </c>
      <c r="AK68">
        <v>1240000000000</v>
      </c>
      <c r="AL68">
        <v>29.645140000000001</v>
      </c>
      <c r="AN68">
        <v>-1.5972</v>
      </c>
      <c r="AO68">
        <v>52.577919999999999</v>
      </c>
      <c r="AP68">
        <v>27.618359999999999</v>
      </c>
      <c r="AQ68">
        <v>3.2535810000000001</v>
      </c>
      <c r="AR68">
        <v>19.809660000000001</v>
      </c>
      <c r="AS68">
        <v>1.663565</v>
      </c>
      <c r="AT68">
        <v>2.134166</v>
      </c>
      <c r="AU68">
        <v>3.4224999999999998E-2</v>
      </c>
      <c r="AV68">
        <v>2.134166</v>
      </c>
      <c r="AW68">
        <v>27.845839999999999</v>
      </c>
      <c r="AX68">
        <v>1.61</v>
      </c>
      <c r="AY68">
        <v>2.4765761473717598</v>
      </c>
      <c r="AZ68" s="1">
        <v>4.4999998062849001E-3</v>
      </c>
      <c r="BA68" s="1">
        <v>0.14749999344348899</v>
      </c>
      <c r="BB68" s="1">
        <v>0.15199999511241899</v>
      </c>
      <c r="BC68" s="1">
        <v>7.1329180000000001</v>
      </c>
      <c r="BD68" s="2">
        <v>27.618357407716999</v>
      </c>
      <c r="BE68" s="2">
        <f t="shared" ref="BE68:BE131" si="2">ABS(BD68-BD67)</f>
        <v>0.68207238277399895</v>
      </c>
      <c r="BF68" s="2">
        <f t="shared" ref="BF68:BF131" si="3">100*ABS(BD68-BD67)/BD67</f>
        <v>2.5321694589376373</v>
      </c>
      <c r="BG68">
        <v>390979</v>
      </c>
      <c r="BH68" s="3">
        <v>75469</v>
      </c>
      <c r="BI68">
        <v>23.919685588412413</v>
      </c>
      <c r="BJ68" s="3">
        <v>110334</v>
      </c>
      <c r="BK68">
        <v>25014</v>
      </c>
      <c r="BL68">
        <v>29.317862165963433</v>
      </c>
      <c r="BM68" s="3">
        <v>14108.096100000001</v>
      </c>
      <c r="BN68">
        <v>10606.843199999998</v>
      </c>
      <c r="BO68">
        <v>42.916727697567111</v>
      </c>
      <c r="BP68">
        <v>208411055984.06299</v>
      </c>
      <c r="BQ68">
        <v>3053065710.4550171</v>
      </c>
      <c r="BR68">
        <v>1.4437748049125274</v>
      </c>
      <c r="BS68">
        <v>0.4663677</v>
      </c>
      <c r="BT68">
        <v>1.6960999999999999</v>
      </c>
      <c r="BU68">
        <v>1.7094709661918299</v>
      </c>
    </row>
    <row r="69" spans="1:73" x14ac:dyDescent="0.2">
      <c r="A69">
        <v>68</v>
      </c>
      <c r="B69" t="s">
        <v>66</v>
      </c>
      <c r="C69">
        <v>2003</v>
      </c>
      <c r="D69">
        <v>3</v>
      </c>
      <c r="E69">
        <v>1</v>
      </c>
      <c r="F69" t="s">
        <v>67</v>
      </c>
      <c r="G69">
        <v>0.25488</v>
      </c>
      <c r="H69">
        <v>0</v>
      </c>
      <c r="I69">
        <v>1.1930000000000001</v>
      </c>
      <c r="J69">
        <v>1.423</v>
      </c>
      <c r="K69">
        <v>2.427</v>
      </c>
      <c r="L69">
        <v>2.6509999999999998</v>
      </c>
      <c r="M69">
        <v>0.81799999999999995</v>
      </c>
      <c r="N69">
        <v>0.99199999999999999</v>
      </c>
      <c r="O69">
        <v>-0.185</v>
      </c>
      <c r="P69">
        <v>5.8650000000000002</v>
      </c>
      <c r="Q69">
        <v>0</v>
      </c>
      <c r="R69">
        <v>10354.6</v>
      </c>
      <c r="S69">
        <v>-0.123</v>
      </c>
      <c r="T69">
        <v>14.71</v>
      </c>
      <c r="U69">
        <v>9.99</v>
      </c>
      <c r="V69">
        <v>57.6</v>
      </c>
      <c r="W69" t="s">
        <v>54</v>
      </c>
      <c r="X69" t="s">
        <v>55</v>
      </c>
      <c r="Y69" t="s">
        <v>59</v>
      </c>
      <c r="Z69">
        <v>0.749</v>
      </c>
      <c r="AA69">
        <v>0.86899999999999999</v>
      </c>
      <c r="AB69">
        <v>513</v>
      </c>
      <c r="AC69">
        <v>19</v>
      </c>
      <c r="AE69">
        <v>-47.929200000000002</v>
      </c>
      <c r="AF69">
        <v>-15.780099999999999</v>
      </c>
      <c r="AG69" t="s">
        <v>57</v>
      </c>
      <c r="AH69" t="s">
        <v>58</v>
      </c>
      <c r="AI69">
        <v>6896.1369999999997</v>
      </c>
      <c r="AJ69">
        <v>1.1408290000000001</v>
      </c>
      <c r="AK69">
        <v>1250000000000</v>
      </c>
      <c r="AL69">
        <v>27.685669999999998</v>
      </c>
      <c r="AN69">
        <v>0.64266639999999997</v>
      </c>
      <c r="AO69">
        <v>51.723260000000003</v>
      </c>
      <c r="AP69">
        <v>28.14038</v>
      </c>
      <c r="AQ69">
        <v>1.813401</v>
      </c>
      <c r="AR69">
        <v>19.077480000000001</v>
      </c>
      <c r="AS69">
        <v>1.912633</v>
      </c>
      <c r="AT69">
        <v>2.6885279999999998</v>
      </c>
      <c r="AU69">
        <v>3.4224999999999998E-2</v>
      </c>
      <c r="AV69">
        <v>2.6885279999999998</v>
      </c>
      <c r="AW69">
        <v>27.85718</v>
      </c>
      <c r="AX69">
        <v>6.26</v>
      </c>
      <c r="AY69">
        <v>2.4765761473717598</v>
      </c>
      <c r="AZ69" s="1">
        <v>4.4999998062849001E-3</v>
      </c>
      <c r="BA69" s="1">
        <v>0.14749999344348899</v>
      </c>
      <c r="BB69" s="1">
        <v>0.15199999511241899</v>
      </c>
      <c r="BC69" s="1">
        <v>8.4917879999999997</v>
      </c>
      <c r="BD69" s="2">
        <v>28.140384721549001</v>
      </c>
      <c r="BE69" s="2">
        <f t="shared" si="2"/>
        <v>0.52202731383200174</v>
      </c>
      <c r="BF69" s="2">
        <f t="shared" si="3"/>
        <v>1.8901461304361973</v>
      </c>
      <c r="BG69">
        <v>403815</v>
      </c>
      <c r="BH69" s="3">
        <v>12836</v>
      </c>
      <c r="BI69">
        <v>3.2830407771261374</v>
      </c>
      <c r="BJ69" s="3">
        <v>112766</v>
      </c>
      <c r="BK69">
        <v>2432</v>
      </c>
      <c r="BL69">
        <v>2.2042162887233312</v>
      </c>
      <c r="BM69" s="3">
        <v>9894.2245999999996</v>
      </c>
      <c r="BN69">
        <v>4213.8715000000011</v>
      </c>
      <c r="BO69">
        <v>29.868463257774387</v>
      </c>
      <c r="BP69">
        <v>200106891684.48801</v>
      </c>
      <c r="BQ69">
        <v>8304164299.5749817</v>
      </c>
      <c r="BR69">
        <v>3.9845123668535098</v>
      </c>
      <c r="BS69">
        <v>0.73218349999999999</v>
      </c>
      <c r="BT69">
        <v>1.8324050000000001</v>
      </c>
      <c r="BU69">
        <v>-0.122933723843431</v>
      </c>
    </row>
    <row r="70" spans="1:73" x14ac:dyDescent="0.2">
      <c r="A70">
        <v>69</v>
      </c>
      <c r="B70" t="s">
        <v>66</v>
      </c>
      <c r="C70">
        <v>2004</v>
      </c>
      <c r="D70">
        <v>3</v>
      </c>
      <c r="E70">
        <v>0</v>
      </c>
      <c r="F70" t="s">
        <v>67</v>
      </c>
      <c r="G70">
        <v>0.25488</v>
      </c>
      <c r="H70">
        <v>0</v>
      </c>
      <c r="I70">
        <v>1.1930000000000001</v>
      </c>
      <c r="J70">
        <v>1.423</v>
      </c>
      <c r="K70">
        <v>2.427</v>
      </c>
      <c r="L70">
        <v>2.6509999999999998</v>
      </c>
      <c r="M70">
        <v>0.81799999999999995</v>
      </c>
      <c r="N70">
        <v>0.99199999999999999</v>
      </c>
      <c r="O70">
        <v>-0.185</v>
      </c>
      <c r="P70">
        <v>4.5599999999999996</v>
      </c>
      <c r="Q70">
        <v>0</v>
      </c>
      <c r="R70">
        <v>10949.7</v>
      </c>
      <c r="S70">
        <v>4.4969999999999999</v>
      </c>
      <c r="T70">
        <v>6.6</v>
      </c>
      <c r="U70">
        <v>9.11</v>
      </c>
      <c r="V70">
        <v>56.5</v>
      </c>
      <c r="W70" t="s">
        <v>54</v>
      </c>
      <c r="X70" t="s">
        <v>55</v>
      </c>
      <c r="Y70" t="s">
        <v>59</v>
      </c>
      <c r="Z70">
        <v>0.749</v>
      </c>
      <c r="AA70">
        <v>0.86899999999999999</v>
      </c>
      <c r="AB70">
        <v>513</v>
      </c>
      <c r="AC70">
        <v>19</v>
      </c>
      <c r="AE70">
        <v>-47.929200000000002</v>
      </c>
      <c r="AF70">
        <v>-15.780099999999999</v>
      </c>
      <c r="AG70" t="s">
        <v>57</v>
      </c>
      <c r="AH70" t="s">
        <v>58</v>
      </c>
      <c r="AI70">
        <v>7206.2619999999997</v>
      </c>
      <c r="AJ70">
        <v>5.7599640000000001</v>
      </c>
      <c r="AK70">
        <v>1330000000000</v>
      </c>
      <c r="AL70">
        <v>29.372769999999999</v>
      </c>
      <c r="AN70">
        <v>1.657373</v>
      </c>
      <c r="AO70">
        <v>50.890219999999999</v>
      </c>
      <c r="AP70">
        <v>29.678249999999998</v>
      </c>
      <c r="AQ70">
        <v>2.7135319999999998</v>
      </c>
      <c r="AR70">
        <v>18.467580000000002</v>
      </c>
      <c r="AS70">
        <v>4.619135</v>
      </c>
      <c r="AT70">
        <v>1.88707</v>
      </c>
      <c r="AU70">
        <v>3.4224999999999998E-2</v>
      </c>
      <c r="AV70">
        <v>1.88707</v>
      </c>
      <c r="AW70">
        <v>27.91319</v>
      </c>
      <c r="AX70">
        <v>8.1100010000000005</v>
      </c>
      <c r="AY70">
        <v>2.4765761473717598</v>
      </c>
      <c r="AZ70" s="1">
        <v>4.4999998062849001E-3</v>
      </c>
      <c r="BA70" s="1">
        <v>0.14749999344348899</v>
      </c>
      <c r="BB70" s="1">
        <v>0.15199999511241899</v>
      </c>
      <c r="BC70" s="1">
        <v>9.4455050000000007</v>
      </c>
      <c r="BD70" s="2">
        <v>29.678252480348998</v>
      </c>
      <c r="BE70" s="2">
        <f t="shared" si="2"/>
        <v>1.5378677587999974</v>
      </c>
      <c r="BF70" s="2">
        <f t="shared" si="3"/>
        <v>5.464984839465779</v>
      </c>
      <c r="BG70">
        <v>481769</v>
      </c>
      <c r="BH70" s="3">
        <v>77954</v>
      </c>
      <c r="BI70">
        <v>19.30438443346582</v>
      </c>
      <c r="BJ70" s="3">
        <v>129660</v>
      </c>
      <c r="BK70">
        <v>16894</v>
      </c>
      <c r="BL70">
        <v>14.981466044729794</v>
      </c>
      <c r="BM70" s="3">
        <v>8338.8963999999996</v>
      </c>
      <c r="BN70">
        <v>1555.3281999999999</v>
      </c>
      <c r="BO70">
        <v>15.719556234856444</v>
      </c>
      <c r="BP70">
        <v>217089890339.15601</v>
      </c>
      <c r="BQ70">
        <v>16982998654.667999</v>
      </c>
      <c r="BR70">
        <v>8.4869633982648569</v>
      </c>
      <c r="BS70">
        <v>0.60989380000000004</v>
      </c>
      <c r="BT70">
        <v>4.6200109999999999</v>
      </c>
      <c r="BU70">
        <v>4.4970770626736796</v>
      </c>
    </row>
    <row r="71" spans="1:73" x14ac:dyDescent="0.2">
      <c r="A71">
        <v>70</v>
      </c>
      <c r="B71" t="s">
        <v>66</v>
      </c>
      <c r="C71">
        <v>2005</v>
      </c>
      <c r="D71">
        <v>3</v>
      </c>
      <c r="E71">
        <v>0</v>
      </c>
      <c r="F71" t="s">
        <v>67</v>
      </c>
      <c r="G71">
        <v>0.25488</v>
      </c>
      <c r="H71">
        <v>0</v>
      </c>
      <c r="I71">
        <v>1.1930000000000001</v>
      </c>
      <c r="J71">
        <v>1.423</v>
      </c>
      <c r="K71">
        <v>2.427</v>
      </c>
      <c r="L71">
        <v>2.6509999999999998</v>
      </c>
      <c r="M71">
        <v>0.81799999999999995</v>
      </c>
      <c r="N71">
        <v>0.99199999999999999</v>
      </c>
      <c r="O71">
        <v>-0.185</v>
      </c>
      <c r="P71">
        <v>5.1360000000000001</v>
      </c>
      <c r="Q71">
        <v>0</v>
      </c>
      <c r="R71">
        <v>11305.8</v>
      </c>
      <c r="S71">
        <v>2.0259999999999998</v>
      </c>
      <c r="T71">
        <v>6.87</v>
      </c>
      <c r="U71">
        <v>9.57</v>
      </c>
      <c r="V71">
        <v>56.3</v>
      </c>
      <c r="W71" t="s">
        <v>54</v>
      </c>
      <c r="X71" t="s">
        <v>55</v>
      </c>
      <c r="Y71" t="s">
        <v>59</v>
      </c>
      <c r="Z71">
        <v>0.78900000000000003</v>
      </c>
      <c r="AA71">
        <v>0.88400000000000001</v>
      </c>
      <c r="AB71">
        <v>513</v>
      </c>
      <c r="AC71">
        <v>19</v>
      </c>
      <c r="AE71">
        <v>-47.929200000000002</v>
      </c>
      <c r="AF71">
        <v>-15.780099999999999</v>
      </c>
      <c r="AG71" t="s">
        <v>57</v>
      </c>
      <c r="AH71" t="s">
        <v>58</v>
      </c>
      <c r="AI71">
        <v>7352.2830000000004</v>
      </c>
      <c r="AJ71">
        <v>3.2021320000000002</v>
      </c>
      <c r="AK71">
        <v>1370000000000</v>
      </c>
      <c r="AL71">
        <v>31.839780000000001</v>
      </c>
      <c r="AN71">
        <v>1.5525819999999999</v>
      </c>
      <c r="AO71">
        <v>50.076239999999999</v>
      </c>
      <c r="AP71">
        <v>27.0868</v>
      </c>
      <c r="AQ71">
        <v>1.733894</v>
      </c>
      <c r="AR71">
        <v>18.89</v>
      </c>
      <c r="AS71">
        <v>2.5578319999999999</v>
      </c>
      <c r="AT71">
        <v>1.9271640000000001</v>
      </c>
      <c r="AU71">
        <v>3.4224999999999998E-2</v>
      </c>
      <c r="AV71">
        <v>1.9271640000000001</v>
      </c>
      <c r="AW71">
        <v>27.944710000000001</v>
      </c>
      <c r="AX71">
        <v>0.27</v>
      </c>
      <c r="AY71">
        <v>2.4765761473717598</v>
      </c>
      <c r="AZ71" s="1">
        <v>4.4999998062849001E-3</v>
      </c>
      <c r="BA71" s="1">
        <v>0.14749999344348899</v>
      </c>
      <c r="BB71" s="1">
        <v>0.15199999511241899</v>
      </c>
      <c r="BC71" s="1">
        <v>9.4455050000000007</v>
      </c>
      <c r="BD71" s="2">
        <v>27.086795207424</v>
      </c>
      <c r="BE71" s="2">
        <f t="shared" si="2"/>
        <v>2.5914572729249983</v>
      </c>
      <c r="BF71" s="2">
        <f t="shared" si="3"/>
        <v>8.7318391628378116</v>
      </c>
      <c r="BG71">
        <v>570947</v>
      </c>
      <c r="BH71" s="3">
        <v>89178</v>
      </c>
      <c r="BI71">
        <v>18.51053098061519</v>
      </c>
      <c r="BJ71" s="3">
        <v>146745</v>
      </c>
      <c r="BK71">
        <v>17085</v>
      </c>
      <c r="BL71">
        <v>13.176770013882463</v>
      </c>
      <c r="BM71" s="3">
        <v>12549.5908</v>
      </c>
      <c r="BN71">
        <v>4210.6944000000003</v>
      </c>
      <c r="BO71">
        <v>50.49462420470892</v>
      </c>
      <c r="BP71">
        <v>221336823775.952</v>
      </c>
      <c r="BQ71">
        <v>4246933436.79599</v>
      </c>
      <c r="BR71">
        <v>1.9563018020604621</v>
      </c>
      <c r="BS71">
        <v>0.42241669999999998</v>
      </c>
      <c r="BT71">
        <v>2.4707729999999999</v>
      </c>
      <c r="BU71">
        <v>2.0263042288904098</v>
      </c>
    </row>
    <row r="72" spans="1:73" x14ac:dyDescent="0.2">
      <c r="A72">
        <v>71</v>
      </c>
      <c r="B72" t="s">
        <v>66</v>
      </c>
      <c r="C72">
        <v>2006</v>
      </c>
      <c r="D72">
        <v>3</v>
      </c>
      <c r="E72">
        <v>0</v>
      </c>
      <c r="F72" t="s">
        <v>67</v>
      </c>
      <c r="G72">
        <v>0.25488</v>
      </c>
      <c r="H72">
        <v>0</v>
      </c>
      <c r="I72">
        <v>1.1930000000000001</v>
      </c>
      <c r="J72">
        <v>1.423</v>
      </c>
      <c r="K72">
        <v>2.427</v>
      </c>
      <c r="L72">
        <v>2.6509999999999998</v>
      </c>
      <c r="M72">
        <v>0.81799999999999995</v>
      </c>
      <c r="N72">
        <v>0.99199999999999999</v>
      </c>
      <c r="O72">
        <v>-0.185</v>
      </c>
      <c r="P72">
        <v>4.55</v>
      </c>
      <c r="Q72">
        <v>1</v>
      </c>
      <c r="R72">
        <v>11766.6</v>
      </c>
      <c r="S72">
        <v>2.835</v>
      </c>
      <c r="T72">
        <v>4.18</v>
      </c>
      <c r="U72">
        <v>8.64</v>
      </c>
      <c r="V72">
        <v>55.6</v>
      </c>
      <c r="W72" t="s">
        <v>54</v>
      </c>
      <c r="X72" t="s">
        <v>55</v>
      </c>
      <c r="Y72" t="s">
        <v>59</v>
      </c>
      <c r="Z72">
        <v>0.78800000000000003</v>
      </c>
      <c r="AA72">
        <v>0.88400000000000001</v>
      </c>
      <c r="AB72">
        <v>513</v>
      </c>
      <c r="AC72">
        <v>19</v>
      </c>
      <c r="AD72">
        <v>63.952359999999999</v>
      </c>
      <c r="AE72">
        <v>-47.929200000000002</v>
      </c>
      <c r="AF72">
        <v>-15.780099999999999</v>
      </c>
      <c r="AG72" t="s">
        <v>57</v>
      </c>
      <c r="AH72" t="s">
        <v>58</v>
      </c>
      <c r="AI72">
        <v>7560.7020000000002</v>
      </c>
      <c r="AJ72">
        <v>3.961989</v>
      </c>
      <c r="AK72">
        <v>1420000000000</v>
      </c>
      <c r="AL72">
        <v>35.425170000000001</v>
      </c>
      <c r="AM72">
        <v>63.952359999999999</v>
      </c>
      <c r="AN72">
        <v>1.1817150000000001</v>
      </c>
      <c r="AO72">
        <v>49.24145</v>
      </c>
      <c r="AP72">
        <v>26.041699999999999</v>
      </c>
      <c r="AQ72">
        <v>1.753125</v>
      </c>
      <c r="AR72">
        <v>19.038920000000001</v>
      </c>
      <c r="AS72">
        <v>0.75985670000000005</v>
      </c>
      <c r="AT72">
        <v>1.4303110000000001</v>
      </c>
      <c r="AU72">
        <v>3.4224999999999998E-2</v>
      </c>
      <c r="AV72">
        <v>1.4303110000000001</v>
      </c>
      <c r="AW72">
        <v>27.983560000000001</v>
      </c>
      <c r="AX72">
        <v>2.69</v>
      </c>
      <c r="AY72">
        <v>2.4765761473717598</v>
      </c>
      <c r="AZ72" s="1">
        <v>8.8500000536441803E-2</v>
      </c>
      <c r="BA72" s="1">
        <v>8.6500003933906597E-2</v>
      </c>
      <c r="BB72" s="1">
        <v>0.17500001192092901</v>
      </c>
      <c r="BC72" s="1">
        <v>9.2369175000000006</v>
      </c>
      <c r="BD72" s="2">
        <v>26.041699885349001</v>
      </c>
      <c r="BE72" s="2">
        <f t="shared" si="2"/>
        <v>1.0450953220749994</v>
      </c>
      <c r="BF72" s="2">
        <f t="shared" si="3"/>
        <v>3.8583203146474769</v>
      </c>
      <c r="BG72">
        <v>648996</v>
      </c>
      <c r="BH72" s="3">
        <v>78049</v>
      </c>
      <c r="BI72">
        <v>13.670095472959837</v>
      </c>
      <c r="BJ72" s="3">
        <v>176890</v>
      </c>
      <c r="BK72">
        <v>30145</v>
      </c>
      <c r="BL72">
        <v>20.542437561756788</v>
      </c>
      <c r="BM72" s="3">
        <v>-9380.2831000000006</v>
      </c>
      <c r="BN72">
        <v>21929.873899999999</v>
      </c>
      <c r="BO72">
        <v>174.74572876113217</v>
      </c>
      <c r="BP72">
        <v>236079601073.06799</v>
      </c>
      <c r="BQ72">
        <v>14742777297.115997</v>
      </c>
      <c r="BR72">
        <v>6.6607883160189196</v>
      </c>
      <c r="BS72">
        <v>0.1489162</v>
      </c>
      <c r="BT72">
        <v>0.80845429999999996</v>
      </c>
      <c r="BU72">
        <v>2.8347584840281299</v>
      </c>
    </row>
    <row r="73" spans="1:73" x14ac:dyDescent="0.2">
      <c r="A73">
        <v>72</v>
      </c>
      <c r="B73" t="s">
        <v>66</v>
      </c>
      <c r="C73">
        <v>2007</v>
      </c>
      <c r="D73">
        <v>3</v>
      </c>
      <c r="E73">
        <v>1</v>
      </c>
      <c r="F73" t="s">
        <v>67</v>
      </c>
      <c r="G73">
        <v>0.25488</v>
      </c>
      <c r="H73">
        <v>0</v>
      </c>
      <c r="I73">
        <v>0.65700000000000003</v>
      </c>
      <c r="J73">
        <v>1.5049999999999999</v>
      </c>
      <c r="K73">
        <v>1.8009999999999999</v>
      </c>
      <c r="L73">
        <v>2.726</v>
      </c>
      <c r="M73">
        <v>0.56399999999999995</v>
      </c>
      <c r="N73">
        <v>0.94599999999999995</v>
      </c>
      <c r="O73">
        <v>-0.185</v>
      </c>
      <c r="P73">
        <v>4.3869999999999996</v>
      </c>
      <c r="Q73">
        <v>0</v>
      </c>
      <c r="R73">
        <v>12500</v>
      </c>
      <c r="S73">
        <v>4.9749999999999996</v>
      </c>
      <c r="T73">
        <v>3.64</v>
      </c>
      <c r="U73">
        <v>8.33</v>
      </c>
      <c r="V73">
        <v>54.9</v>
      </c>
      <c r="W73" t="s">
        <v>54</v>
      </c>
      <c r="X73" t="s">
        <v>55</v>
      </c>
      <c r="Y73" t="s">
        <v>59</v>
      </c>
      <c r="Z73">
        <v>0.78</v>
      </c>
      <c r="AA73">
        <v>0.875</v>
      </c>
      <c r="AB73">
        <v>513</v>
      </c>
      <c r="AC73">
        <v>19</v>
      </c>
      <c r="AD73">
        <v>62.451680000000003</v>
      </c>
      <c r="AE73">
        <v>-47.929200000000002</v>
      </c>
      <c r="AF73">
        <v>-15.780099999999999</v>
      </c>
      <c r="AG73" t="s">
        <v>57</v>
      </c>
      <c r="AH73" t="s">
        <v>58</v>
      </c>
      <c r="AI73">
        <v>7936.8239999999996</v>
      </c>
      <c r="AJ73">
        <v>6.0698699999999999</v>
      </c>
      <c r="AK73">
        <v>1510000000000</v>
      </c>
      <c r="AL73">
        <v>40.690939999999998</v>
      </c>
      <c r="AM73">
        <v>62.451680000000003</v>
      </c>
      <c r="AN73">
        <v>3.0390400000000001E-2</v>
      </c>
      <c r="AO73">
        <v>48.459650000000003</v>
      </c>
      <c r="AP73">
        <v>25.29261</v>
      </c>
      <c r="AQ73">
        <v>3.1908270000000001</v>
      </c>
      <c r="AR73">
        <v>18.942990000000002</v>
      </c>
      <c r="AS73">
        <v>2.107882</v>
      </c>
      <c r="AT73">
        <v>1.291984</v>
      </c>
      <c r="AU73">
        <v>3.4224999999999998E-2</v>
      </c>
      <c r="AV73">
        <v>1.291984</v>
      </c>
      <c r="AW73">
        <v>28.042490000000001</v>
      </c>
      <c r="AX73">
        <v>0.53999969999999997</v>
      </c>
      <c r="AY73">
        <v>2.4765761473717598</v>
      </c>
      <c r="AZ73" s="1">
        <v>8.8500000536441803E-2</v>
      </c>
      <c r="BA73" s="1">
        <v>8.6500003933906597E-2</v>
      </c>
      <c r="BB73" s="1">
        <v>0.17500001192092901</v>
      </c>
      <c r="BC73" s="1">
        <v>9.3167069999999992</v>
      </c>
      <c r="BD73" s="2">
        <v>25.292611370793001</v>
      </c>
      <c r="BE73" s="2">
        <f t="shared" si="2"/>
        <v>0.74908851455600001</v>
      </c>
      <c r="BF73" s="2">
        <f t="shared" si="3"/>
        <v>2.8764962266439276</v>
      </c>
      <c r="BG73">
        <v>771515</v>
      </c>
      <c r="BH73" s="3">
        <v>122519</v>
      </c>
      <c r="BI73">
        <v>18.878236537667412</v>
      </c>
      <c r="BJ73" s="3">
        <v>235075</v>
      </c>
      <c r="BK73">
        <v>58185</v>
      </c>
      <c r="BL73">
        <v>32.893323534399912</v>
      </c>
      <c r="BM73" s="3">
        <v>27518.241300000002</v>
      </c>
      <c r="BN73">
        <v>36898.524400000002</v>
      </c>
      <c r="BO73">
        <v>-393.36258838499236</v>
      </c>
      <c r="BP73">
        <v>264296797960.12601</v>
      </c>
      <c r="BQ73">
        <v>28217196887.058014</v>
      </c>
      <c r="BR73">
        <v>11.952407899200333</v>
      </c>
      <c r="BS73">
        <v>9.5930100000000004E-2</v>
      </c>
      <c r="BT73">
        <v>2.1399430000000002</v>
      </c>
      <c r="BU73">
        <v>4.9747018960273799</v>
      </c>
    </row>
    <row r="74" spans="1:73" x14ac:dyDescent="0.2">
      <c r="A74">
        <v>73</v>
      </c>
      <c r="B74" t="s">
        <v>66</v>
      </c>
      <c r="C74">
        <v>2008</v>
      </c>
      <c r="D74">
        <v>3</v>
      </c>
      <c r="E74">
        <v>0</v>
      </c>
      <c r="F74" t="s">
        <v>67</v>
      </c>
      <c r="G74">
        <v>0.25488</v>
      </c>
      <c r="H74">
        <v>0</v>
      </c>
      <c r="I74">
        <v>0.65700000000000003</v>
      </c>
      <c r="J74">
        <v>1.5049999999999999</v>
      </c>
      <c r="K74">
        <v>1.8009999999999999</v>
      </c>
      <c r="L74">
        <v>2.726</v>
      </c>
      <c r="M74">
        <v>0.56399999999999995</v>
      </c>
      <c r="N74">
        <v>0.94599999999999995</v>
      </c>
      <c r="O74">
        <v>-0.185</v>
      </c>
      <c r="P74">
        <v>3.89</v>
      </c>
      <c r="Q74">
        <v>0</v>
      </c>
      <c r="R74">
        <v>13164</v>
      </c>
      <c r="S74">
        <v>4.0540000000000003</v>
      </c>
      <c r="T74">
        <v>5.68</v>
      </c>
      <c r="U74">
        <v>7.34</v>
      </c>
      <c r="V74">
        <v>54</v>
      </c>
      <c r="W74" t="s">
        <v>54</v>
      </c>
      <c r="X74" t="s">
        <v>55</v>
      </c>
      <c r="Y74" t="s">
        <v>59</v>
      </c>
      <c r="Z74">
        <v>0.78</v>
      </c>
      <c r="AA74">
        <v>0.875</v>
      </c>
      <c r="AB74">
        <v>513</v>
      </c>
      <c r="AC74">
        <v>19</v>
      </c>
      <c r="AD74">
        <v>60.655929999999998</v>
      </c>
      <c r="AE74">
        <v>-47.929200000000002</v>
      </c>
      <c r="AF74">
        <v>-15.780099999999999</v>
      </c>
      <c r="AG74" t="s">
        <v>57</v>
      </c>
      <c r="AH74" t="s">
        <v>58</v>
      </c>
      <c r="AI74">
        <v>8258.616</v>
      </c>
      <c r="AJ74">
        <v>5.094195</v>
      </c>
      <c r="AK74">
        <v>1590000000000</v>
      </c>
      <c r="AL74">
        <v>45.782260000000001</v>
      </c>
      <c r="AM74">
        <v>60.655929999999998</v>
      </c>
      <c r="AN74">
        <v>-1.8241750000000001</v>
      </c>
      <c r="AO74">
        <v>47.715449999999997</v>
      </c>
      <c r="AP74">
        <v>27.257570000000001</v>
      </c>
      <c r="AQ74">
        <v>2.9906090000000001</v>
      </c>
      <c r="AR74">
        <v>18.839390000000002</v>
      </c>
      <c r="AS74">
        <v>0.97567510000000002</v>
      </c>
      <c r="AT74">
        <v>1.7369509999999999</v>
      </c>
      <c r="AU74">
        <v>3.4224999999999998E-2</v>
      </c>
      <c r="AV74">
        <v>1.7369509999999999</v>
      </c>
      <c r="AW74">
        <v>28.092169999999999</v>
      </c>
      <c r="AX74">
        <v>2.04</v>
      </c>
      <c r="AY74">
        <v>2.4765761473717598</v>
      </c>
      <c r="AZ74" s="1">
        <v>8.8500000536441803E-2</v>
      </c>
      <c r="BA74" s="1">
        <v>8.6500003933906597E-2</v>
      </c>
      <c r="BB74" s="1">
        <v>0.17500001192092901</v>
      </c>
      <c r="BC74" s="1">
        <v>9.3167069999999992</v>
      </c>
      <c r="BD74" s="2">
        <v>27.257569419601001</v>
      </c>
      <c r="BE74" s="2">
        <f t="shared" si="2"/>
        <v>1.9649580488080005</v>
      </c>
      <c r="BF74" s="2">
        <f t="shared" si="3"/>
        <v>7.7689014392442823</v>
      </c>
      <c r="BG74">
        <v>1058367</v>
      </c>
      <c r="BH74" s="3">
        <v>286852</v>
      </c>
      <c r="BI74">
        <v>37.180352941938914</v>
      </c>
      <c r="BJ74" s="3">
        <v>227167</v>
      </c>
      <c r="BK74">
        <v>7908</v>
      </c>
      <c r="BL74">
        <v>3.3640327555035627</v>
      </c>
      <c r="BM74" s="3">
        <v>24601.0903</v>
      </c>
      <c r="BN74">
        <v>2917.1510000000017</v>
      </c>
      <c r="BO74">
        <v>10.600790102091304</v>
      </c>
      <c r="BP74">
        <v>296770834331.90601</v>
      </c>
      <c r="BQ74">
        <v>32474036371.779999</v>
      </c>
      <c r="BR74">
        <v>12.286957928517658</v>
      </c>
      <c r="BS74">
        <v>0.1035938</v>
      </c>
      <c r="BT74">
        <v>0.92029139999999998</v>
      </c>
      <c r="BU74">
        <v>4.0544106638096498</v>
      </c>
    </row>
    <row r="75" spans="1:73" x14ac:dyDescent="0.2">
      <c r="A75">
        <v>74</v>
      </c>
      <c r="B75" t="s">
        <v>66</v>
      </c>
      <c r="C75">
        <v>2009</v>
      </c>
      <c r="D75">
        <v>3</v>
      </c>
      <c r="E75">
        <v>0</v>
      </c>
      <c r="F75" t="s">
        <v>67</v>
      </c>
      <c r="G75">
        <v>0.25488</v>
      </c>
      <c r="H75">
        <v>0</v>
      </c>
      <c r="I75">
        <v>0.65700000000000003</v>
      </c>
      <c r="J75">
        <v>1.5049999999999999</v>
      </c>
      <c r="K75">
        <v>1.8009999999999999</v>
      </c>
      <c r="L75">
        <v>2.726</v>
      </c>
      <c r="M75">
        <v>0.56399999999999995</v>
      </c>
      <c r="N75">
        <v>0.94599999999999995</v>
      </c>
      <c r="O75">
        <v>-0.185</v>
      </c>
      <c r="P75">
        <v>4.3470000000000004</v>
      </c>
      <c r="Q75">
        <v>0</v>
      </c>
      <c r="R75">
        <v>13180.9</v>
      </c>
      <c r="S75">
        <v>-1.0820000000000001</v>
      </c>
      <c r="T75">
        <v>4.8899999999999997</v>
      </c>
      <c r="U75">
        <v>8.52</v>
      </c>
      <c r="V75">
        <v>53.7</v>
      </c>
      <c r="W75" t="s">
        <v>54</v>
      </c>
      <c r="X75" t="s">
        <v>55</v>
      </c>
      <c r="Y75" t="s">
        <v>59</v>
      </c>
      <c r="Z75">
        <v>0.78</v>
      </c>
      <c r="AA75">
        <v>0.875</v>
      </c>
      <c r="AB75">
        <v>513</v>
      </c>
      <c r="AC75">
        <v>19</v>
      </c>
      <c r="AD75">
        <v>63.807830000000003</v>
      </c>
      <c r="AE75">
        <v>-47.929200000000002</v>
      </c>
      <c r="AF75">
        <v>-15.780099999999999</v>
      </c>
      <c r="AG75" t="s">
        <v>57</v>
      </c>
      <c r="AH75" t="s">
        <v>58</v>
      </c>
      <c r="AI75">
        <v>8169.2619999999997</v>
      </c>
      <c r="AJ75">
        <v>-0.12581200000000001</v>
      </c>
      <c r="AK75">
        <v>1580000000000</v>
      </c>
      <c r="AL75">
        <v>47.494289999999999</v>
      </c>
      <c r="AM75">
        <v>63.807830000000003</v>
      </c>
      <c r="AN75">
        <v>-1.585418</v>
      </c>
      <c r="AO75">
        <v>46.991790000000002</v>
      </c>
      <c r="AP75">
        <v>22.105979999999999</v>
      </c>
      <c r="AQ75">
        <v>1.888482</v>
      </c>
      <c r="AR75">
        <v>19.650639999999999</v>
      </c>
      <c r="AS75">
        <v>5.2200069999999998</v>
      </c>
      <c r="AT75">
        <v>1.5871919999999999</v>
      </c>
      <c r="AU75">
        <v>3.4224999999999998E-2</v>
      </c>
      <c r="AV75">
        <v>1.5871919999999999</v>
      </c>
      <c r="AW75">
        <v>28.090920000000001</v>
      </c>
      <c r="AX75">
        <v>0.79</v>
      </c>
      <c r="AY75">
        <v>2.4765761473717598</v>
      </c>
      <c r="AZ75" s="1">
        <v>8.8500000536441803E-2</v>
      </c>
      <c r="BA75" s="1">
        <v>8.6500003933906597E-2</v>
      </c>
      <c r="BB75" s="1">
        <v>0.17500001192092901</v>
      </c>
      <c r="BC75" s="1">
        <v>9.3167069999999992</v>
      </c>
      <c r="BD75" s="2">
        <v>22.105975597964999</v>
      </c>
      <c r="BE75" s="2">
        <f t="shared" si="2"/>
        <v>5.151593821636002</v>
      </c>
      <c r="BF75" s="2">
        <f t="shared" si="3"/>
        <v>18.89968156123075</v>
      </c>
      <c r="BG75">
        <v>1152731</v>
      </c>
      <c r="BH75" s="3">
        <v>94364</v>
      </c>
      <c r="BI75">
        <v>8.9159998374854847</v>
      </c>
      <c r="BJ75" s="3">
        <v>254714</v>
      </c>
      <c r="BK75">
        <v>27547</v>
      </c>
      <c r="BL75">
        <v>12.126321164605775</v>
      </c>
      <c r="BM75" s="3">
        <v>36032.805800000002</v>
      </c>
      <c r="BN75">
        <v>11431.715500000002</v>
      </c>
      <c r="BO75">
        <v>46.468328682164149</v>
      </c>
      <c r="BP75">
        <v>290438116245.55103</v>
      </c>
      <c r="BQ75">
        <v>6332718086.3549805</v>
      </c>
      <c r="BR75">
        <v>2.1338748130729455</v>
      </c>
      <c r="BS75">
        <v>0.81124499999999999</v>
      </c>
      <c r="BT75">
        <v>5.1363529999999997</v>
      </c>
      <c r="BU75">
        <v>-1.0819423686985601</v>
      </c>
    </row>
    <row r="76" spans="1:73" x14ac:dyDescent="0.2">
      <c r="A76">
        <v>75</v>
      </c>
      <c r="B76" t="s">
        <v>66</v>
      </c>
      <c r="C76">
        <v>2010</v>
      </c>
      <c r="D76">
        <v>3</v>
      </c>
      <c r="E76">
        <v>0</v>
      </c>
      <c r="F76" t="s">
        <v>67</v>
      </c>
      <c r="G76">
        <v>0.25488</v>
      </c>
      <c r="H76">
        <v>0</v>
      </c>
      <c r="I76">
        <v>0.65700000000000003</v>
      </c>
      <c r="J76">
        <v>1.5049999999999999</v>
      </c>
      <c r="K76">
        <v>1.8009999999999999</v>
      </c>
      <c r="L76">
        <v>2.726</v>
      </c>
      <c r="M76">
        <v>0.56399999999999995</v>
      </c>
      <c r="N76">
        <v>0.94599999999999995</v>
      </c>
      <c r="O76">
        <v>0.11899999999999999</v>
      </c>
      <c r="P76">
        <v>3.5350000000000001</v>
      </c>
      <c r="Q76">
        <v>1</v>
      </c>
      <c r="R76">
        <v>14215.6</v>
      </c>
      <c r="S76">
        <v>6.524</v>
      </c>
      <c r="T76">
        <v>5.04</v>
      </c>
      <c r="W76" t="s">
        <v>54</v>
      </c>
      <c r="X76" t="s">
        <v>55</v>
      </c>
      <c r="Y76" t="s">
        <v>59</v>
      </c>
      <c r="Z76">
        <v>0.78600000000000003</v>
      </c>
      <c r="AA76">
        <v>0.88100000000000001</v>
      </c>
      <c r="AB76">
        <v>513</v>
      </c>
      <c r="AC76">
        <v>19</v>
      </c>
      <c r="AD76">
        <v>61.318779999999997</v>
      </c>
      <c r="AE76">
        <v>-47.929200000000002</v>
      </c>
      <c r="AF76">
        <v>-15.780099999999999</v>
      </c>
      <c r="AG76" t="s">
        <v>57</v>
      </c>
      <c r="AH76" t="s">
        <v>58</v>
      </c>
      <c r="AI76">
        <v>8702.2549999999992</v>
      </c>
      <c r="AJ76">
        <v>7.5282260000000001</v>
      </c>
      <c r="AK76">
        <v>1700000000000</v>
      </c>
      <c r="AL76">
        <v>52.764659999999999</v>
      </c>
      <c r="AM76">
        <v>61.318779999999997</v>
      </c>
      <c r="AN76">
        <v>-3.587269</v>
      </c>
      <c r="AO76">
        <v>46.293300000000002</v>
      </c>
      <c r="AP76">
        <v>22.772179999999999</v>
      </c>
      <c r="AQ76">
        <v>3.7300119999999999</v>
      </c>
      <c r="AR76">
        <v>19.016860000000001</v>
      </c>
      <c r="AS76">
        <v>7.6540379999999999</v>
      </c>
      <c r="AT76">
        <v>1.6174059999999999</v>
      </c>
      <c r="AU76">
        <v>1.4161E-2</v>
      </c>
      <c r="AV76">
        <v>1.6174059999999999</v>
      </c>
      <c r="AW76">
        <v>28.163499999999999</v>
      </c>
      <c r="AX76">
        <v>0.1500001</v>
      </c>
      <c r="AY76">
        <v>2.7179609337779902</v>
      </c>
      <c r="AZ76" s="1">
        <v>0.158999994397163</v>
      </c>
      <c r="BA76" s="1">
        <v>7.0000000298023196E-2</v>
      </c>
      <c r="BB76" s="1">
        <v>0.22900000214576699</v>
      </c>
      <c r="BC76" s="1">
        <v>9.3167069999999992</v>
      </c>
      <c r="BD76" s="2">
        <v>22.772178112005001</v>
      </c>
      <c r="BE76" s="2">
        <f t="shared" si="2"/>
        <v>0.66620251404000186</v>
      </c>
      <c r="BF76" s="2">
        <f t="shared" si="3"/>
        <v>3.0136761487302564</v>
      </c>
      <c r="BG76">
        <v>1309509</v>
      </c>
      <c r="BH76" s="3">
        <v>156778</v>
      </c>
      <c r="BI76">
        <v>13.600571165345601</v>
      </c>
      <c r="BJ76" s="3">
        <v>287739</v>
      </c>
      <c r="BK76">
        <v>33025</v>
      </c>
      <c r="BL76">
        <v>12.965522114999569</v>
      </c>
      <c r="BM76" s="3">
        <v>55626.921900000001</v>
      </c>
      <c r="BN76">
        <v>19594.116099999999</v>
      </c>
      <c r="BO76">
        <v>54.37854661875928</v>
      </c>
      <c r="BP76">
        <v>342292709314.87</v>
      </c>
      <c r="BQ76">
        <v>51854593069.31897</v>
      </c>
      <c r="BR76">
        <v>17.85392142726834</v>
      </c>
      <c r="BS76">
        <v>0.63378140000000005</v>
      </c>
      <c r="BT76">
        <v>7.6063130000000001</v>
      </c>
      <c r="BU76">
        <v>6.5243700556560897</v>
      </c>
    </row>
    <row r="77" spans="1:73" x14ac:dyDescent="0.2">
      <c r="A77">
        <v>76</v>
      </c>
      <c r="B77" t="s">
        <v>66</v>
      </c>
      <c r="C77">
        <v>2011</v>
      </c>
      <c r="D77">
        <v>3</v>
      </c>
      <c r="E77">
        <v>1</v>
      </c>
      <c r="F77" t="s">
        <v>67</v>
      </c>
      <c r="G77">
        <v>0.25488</v>
      </c>
      <c r="H77">
        <v>0</v>
      </c>
      <c r="I77">
        <v>1.345</v>
      </c>
      <c r="J77">
        <v>1.4350000000000001</v>
      </c>
      <c r="K77">
        <v>2.577</v>
      </c>
      <c r="L77">
        <v>2.6619999999999999</v>
      </c>
      <c r="M77">
        <v>0.90200000000000002</v>
      </c>
      <c r="N77">
        <v>0.97199999999999998</v>
      </c>
      <c r="O77">
        <v>0.11899999999999999</v>
      </c>
      <c r="P77">
        <v>3.9380000000000002</v>
      </c>
      <c r="Q77">
        <v>0</v>
      </c>
      <c r="R77">
        <v>14831</v>
      </c>
      <c r="S77">
        <v>3.0259999999999998</v>
      </c>
      <c r="T77">
        <v>6.64</v>
      </c>
      <c r="U77">
        <v>6.92</v>
      </c>
      <c r="V77">
        <v>52.9</v>
      </c>
      <c r="W77" t="s">
        <v>54</v>
      </c>
      <c r="X77" t="s">
        <v>55</v>
      </c>
      <c r="Y77" t="s">
        <v>59</v>
      </c>
      <c r="Z77">
        <v>0.79500000000000004</v>
      </c>
      <c r="AA77">
        <v>0.88700000000000001</v>
      </c>
      <c r="AB77">
        <v>513</v>
      </c>
      <c r="AC77">
        <v>19</v>
      </c>
      <c r="AD77">
        <v>59.341659999999997</v>
      </c>
      <c r="AE77">
        <v>-47.929200000000002</v>
      </c>
      <c r="AF77">
        <v>-15.780099999999999</v>
      </c>
      <c r="AG77" t="s">
        <v>57</v>
      </c>
      <c r="AH77" t="s">
        <v>58</v>
      </c>
      <c r="AI77">
        <v>8965.6200000000008</v>
      </c>
      <c r="AJ77">
        <v>3.9744229999999998</v>
      </c>
      <c r="AK77">
        <v>1770000000000</v>
      </c>
      <c r="AL77">
        <v>58.078490000000002</v>
      </c>
      <c r="AM77">
        <v>59.341659999999997</v>
      </c>
      <c r="AN77">
        <v>-2.9236719999999998</v>
      </c>
      <c r="AO77">
        <v>45.657359999999997</v>
      </c>
      <c r="AP77">
        <v>23.9344</v>
      </c>
      <c r="AQ77">
        <v>3.9151790000000002</v>
      </c>
      <c r="AR77">
        <v>18.669260000000001</v>
      </c>
      <c r="AS77">
        <v>3.5538029999999998</v>
      </c>
      <c r="AT77">
        <v>1.8931119999999999</v>
      </c>
      <c r="AU77">
        <v>1.4161E-2</v>
      </c>
      <c r="AV77">
        <v>1.8931119999999999</v>
      </c>
      <c r="AW77">
        <v>28.202470000000002</v>
      </c>
      <c r="AX77">
        <v>1.6</v>
      </c>
      <c r="AY77">
        <v>2.7179609337779902</v>
      </c>
      <c r="AZ77" s="1">
        <v>0.158999994397163</v>
      </c>
      <c r="BA77" s="1">
        <v>7.0000000298023196E-2</v>
      </c>
      <c r="BB77" s="1">
        <v>0.22900000214576699</v>
      </c>
      <c r="BC77" s="1">
        <v>10.444457999999999</v>
      </c>
      <c r="BD77" s="2">
        <v>23.93440517761</v>
      </c>
      <c r="BE77" s="2">
        <f t="shared" si="2"/>
        <v>1.1622270656049984</v>
      </c>
      <c r="BF77" s="2">
        <f t="shared" si="3"/>
        <v>5.1037149801331365</v>
      </c>
      <c r="BG77">
        <v>1455290</v>
      </c>
      <c r="BH77" s="3">
        <v>145781</v>
      </c>
      <c r="BI77">
        <v>11.13249317110459</v>
      </c>
      <c r="BJ77" s="3">
        <v>292168</v>
      </c>
      <c r="BK77">
        <v>4429</v>
      </c>
      <c r="BL77">
        <v>1.5392421604301121</v>
      </c>
      <c r="BM77" s="3">
        <v>86360.111199999999</v>
      </c>
      <c r="BN77">
        <v>30733.189299999998</v>
      </c>
      <c r="BO77">
        <v>55.248768492437463</v>
      </c>
      <c r="BP77">
        <v>365685151941.76202</v>
      </c>
      <c r="BQ77">
        <v>23392442626.892029</v>
      </c>
      <c r="BR77">
        <v>6.8340464141681938</v>
      </c>
      <c r="BS77">
        <v>0.34760089999999999</v>
      </c>
      <c r="BT77">
        <v>3.4979680000000002</v>
      </c>
      <c r="BU77">
        <v>3.0264019693381199</v>
      </c>
    </row>
    <row r="78" spans="1:73" x14ac:dyDescent="0.2">
      <c r="A78">
        <v>77</v>
      </c>
      <c r="B78" t="s">
        <v>66</v>
      </c>
      <c r="C78">
        <v>2012</v>
      </c>
      <c r="D78">
        <v>3</v>
      </c>
      <c r="E78">
        <v>0</v>
      </c>
      <c r="F78" t="s">
        <v>67</v>
      </c>
      <c r="G78">
        <v>0.25488</v>
      </c>
      <c r="H78">
        <v>0</v>
      </c>
      <c r="I78">
        <v>1.345</v>
      </c>
      <c r="J78">
        <v>1.4350000000000001</v>
      </c>
      <c r="K78">
        <v>2.577</v>
      </c>
      <c r="L78">
        <v>2.6619999999999999</v>
      </c>
      <c r="M78">
        <v>0.90200000000000002</v>
      </c>
      <c r="N78">
        <v>0.97199999999999998</v>
      </c>
      <c r="O78">
        <v>0.11899999999999999</v>
      </c>
      <c r="P78">
        <v>3.9380000000000002</v>
      </c>
      <c r="Q78">
        <v>0</v>
      </c>
      <c r="R78">
        <v>14985</v>
      </c>
      <c r="S78">
        <v>1.0149999999999999</v>
      </c>
      <c r="T78">
        <v>5.4</v>
      </c>
      <c r="U78">
        <v>7.19</v>
      </c>
      <c r="V78">
        <v>53.5</v>
      </c>
      <c r="W78" t="s">
        <v>54</v>
      </c>
      <c r="X78" t="s">
        <v>55</v>
      </c>
      <c r="Y78" t="s">
        <v>59</v>
      </c>
      <c r="Z78">
        <v>0.78900000000000003</v>
      </c>
      <c r="AA78">
        <v>0.878</v>
      </c>
      <c r="AB78">
        <v>513</v>
      </c>
      <c r="AC78">
        <v>19</v>
      </c>
      <c r="AD78">
        <v>59.849490000000003</v>
      </c>
      <c r="AE78">
        <v>-47.929200000000002</v>
      </c>
      <c r="AF78">
        <v>-15.780099999999999</v>
      </c>
      <c r="AG78" t="s">
        <v>57</v>
      </c>
      <c r="AH78" t="s">
        <v>58</v>
      </c>
      <c r="AI78">
        <v>9056.58</v>
      </c>
      <c r="AJ78">
        <v>1.921176</v>
      </c>
      <c r="AK78">
        <v>1810000000000</v>
      </c>
      <c r="AL78">
        <v>62.519289999999998</v>
      </c>
      <c r="AM78">
        <v>59.849490000000003</v>
      </c>
      <c r="AN78">
        <v>-3.4249000000000001</v>
      </c>
      <c r="AO78">
        <v>45.079549999999998</v>
      </c>
      <c r="AP78">
        <v>25.114270000000001</v>
      </c>
      <c r="AQ78">
        <v>3.7549619999999999</v>
      </c>
      <c r="AR78">
        <v>18.530100000000001</v>
      </c>
      <c r="AS78">
        <v>2.0532469999999998</v>
      </c>
      <c r="AT78">
        <v>1.686399</v>
      </c>
      <c r="AU78">
        <v>1.4161E-2</v>
      </c>
      <c r="AV78">
        <v>1.686399</v>
      </c>
      <c r="AW78">
        <v>28.221499999999999</v>
      </c>
      <c r="AX78">
        <v>1.24</v>
      </c>
      <c r="AY78">
        <v>2.7179609337779902</v>
      </c>
      <c r="AZ78" s="1">
        <v>0.158999994397163</v>
      </c>
      <c r="BA78" s="1">
        <v>7.0000000298023196E-2</v>
      </c>
      <c r="BB78" s="1">
        <v>0.22900000214576699</v>
      </c>
      <c r="BC78" s="1">
        <v>10.444457999999999</v>
      </c>
      <c r="BD78" s="2">
        <v>25.114273608653001</v>
      </c>
      <c r="BE78" s="2">
        <f t="shared" si="2"/>
        <v>1.1798684310430012</v>
      </c>
      <c r="BF78" s="2">
        <f t="shared" si="3"/>
        <v>4.9295916162843971</v>
      </c>
      <c r="BG78">
        <v>1508071</v>
      </c>
      <c r="BH78" s="3">
        <v>52781</v>
      </c>
      <c r="BI78">
        <v>3.6268372626761676</v>
      </c>
      <c r="BJ78" s="3">
        <v>333486</v>
      </c>
      <c r="BK78">
        <v>41318</v>
      </c>
      <c r="BL78">
        <v>14.141863585334464</v>
      </c>
      <c r="BM78" s="3">
        <v>90485.123699999996</v>
      </c>
      <c r="BN78">
        <v>4125.0124999999971</v>
      </c>
      <c r="BO78">
        <v>4.7765252298563476</v>
      </c>
      <c r="BP78">
        <v>368533023784.20502</v>
      </c>
      <c r="BQ78">
        <v>2847871842.4429932</v>
      </c>
      <c r="BR78">
        <v>0.77877699636449471</v>
      </c>
      <c r="BS78">
        <v>0.13915250000000001</v>
      </c>
      <c r="BT78">
        <v>2.0118610000000001</v>
      </c>
      <c r="BU78">
        <v>1.01454082117884</v>
      </c>
    </row>
    <row r="79" spans="1:73" x14ac:dyDescent="0.2">
      <c r="A79">
        <v>78</v>
      </c>
      <c r="B79" t="s">
        <v>66</v>
      </c>
      <c r="C79">
        <v>2013</v>
      </c>
      <c r="D79">
        <v>3</v>
      </c>
      <c r="E79">
        <v>0</v>
      </c>
      <c r="F79" t="s">
        <v>67</v>
      </c>
      <c r="G79">
        <v>0.25488</v>
      </c>
      <c r="H79">
        <v>0</v>
      </c>
      <c r="I79">
        <v>1.345</v>
      </c>
      <c r="J79">
        <v>1.4350000000000001</v>
      </c>
      <c r="K79">
        <v>2.577</v>
      </c>
      <c r="L79">
        <v>2.6619999999999999</v>
      </c>
      <c r="M79">
        <v>0.90200000000000002</v>
      </c>
      <c r="N79">
        <v>0.97199999999999998</v>
      </c>
      <c r="O79">
        <v>1.046</v>
      </c>
      <c r="P79">
        <v>3.1150000000000002</v>
      </c>
      <c r="Q79">
        <v>0</v>
      </c>
      <c r="R79">
        <v>15306</v>
      </c>
      <c r="S79">
        <v>2.109</v>
      </c>
      <c r="T79">
        <v>6.2</v>
      </c>
      <c r="U79">
        <v>6.98</v>
      </c>
      <c r="V79">
        <v>52.8</v>
      </c>
      <c r="W79" t="s">
        <v>54</v>
      </c>
      <c r="X79" t="s">
        <v>55</v>
      </c>
      <c r="Y79" t="s">
        <v>59</v>
      </c>
      <c r="Z79">
        <v>0.79500000000000004</v>
      </c>
      <c r="AA79">
        <v>0.88400000000000001</v>
      </c>
      <c r="AB79">
        <v>513</v>
      </c>
      <c r="AC79">
        <v>19</v>
      </c>
      <c r="AD79">
        <v>57.228409999999997</v>
      </c>
      <c r="AE79">
        <v>-47.929200000000002</v>
      </c>
      <c r="AF79">
        <v>-15.780099999999999</v>
      </c>
      <c r="AG79" t="s">
        <v>57</v>
      </c>
      <c r="AH79" t="s">
        <v>58</v>
      </c>
      <c r="AI79">
        <v>9247.5730000000003</v>
      </c>
      <c r="AJ79">
        <v>3.004823</v>
      </c>
      <c r="AK79">
        <v>1860000000000</v>
      </c>
      <c r="AL79">
        <v>64.230580000000003</v>
      </c>
      <c r="AM79">
        <v>57.228409999999997</v>
      </c>
      <c r="AN79">
        <v>-3.2347830000000002</v>
      </c>
      <c r="AO79">
        <v>44.560220000000001</v>
      </c>
      <c r="AP79">
        <v>25.785959999999999</v>
      </c>
      <c r="AQ79">
        <v>3.041509</v>
      </c>
      <c r="AR79">
        <v>18.892479999999999</v>
      </c>
      <c r="AS79">
        <v>1.083647</v>
      </c>
      <c r="AT79">
        <v>1.824549</v>
      </c>
      <c r="AU79">
        <v>1.0941160000000001</v>
      </c>
      <c r="AV79">
        <v>1.824549</v>
      </c>
      <c r="AW79">
        <v>28.251110000000001</v>
      </c>
      <c r="AX79">
        <v>0.79999969999999998</v>
      </c>
      <c r="AY79">
        <v>3.4540257265364498</v>
      </c>
      <c r="AZ79" s="1">
        <v>0.158999994397163</v>
      </c>
      <c r="BA79" s="1">
        <v>7.0000000298023196E-2</v>
      </c>
      <c r="BB79" s="1">
        <v>0.22900000214576699</v>
      </c>
      <c r="BC79" s="1">
        <v>10.444457999999999</v>
      </c>
      <c r="BD79" s="2">
        <v>25.785957323657001</v>
      </c>
      <c r="BE79" s="2">
        <f t="shared" si="2"/>
        <v>0.6716837150040007</v>
      </c>
      <c r="BF79" s="2">
        <f t="shared" si="3"/>
        <v>2.6745098244552667</v>
      </c>
      <c r="BG79">
        <v>1586028</v>
      </c>
      <c r="BH79" s="3">
        <v>77957</v>
      </c>
      <c r="BI79">
        <v>5.1693189511634401</v>
      </c>
      <c r="BJ79" s="3">
        <v>354651</v>
      </c>
      <c r="BK79">
        <v>21165</v>
      </c>
      <c r="BL79">
        <v>6.3465932602867889</v>
      </c>
      <c r="BM79" s="3">
        <v>59567.525399999999</v>
      </c>
      <c r="BN79">
        <v>30917.598299999998</v>
      </c>
      <c r="BO79">
        <v>34.168708662548909</v>
      </c>
      <c r="BP79">
        <v>390008184166.008</v>
      </c>
      <c r="BQ79">
        <v>21475160381.802979</v>
      </c>
      <c r="BR79">
        <v>5.8272010907705756</v>
      </c>
      <c r="BS79">
        <v>0.36237530000000001</v>
      </c>
      <c r="BT79">
        <v>1.0943449999999999</v>
      </c>
      <c r="BU79">
        <v>2.1088858480824801</v>
      </c>
    </row>
    <row r="80" spans="1:73" x14ac:dyDescent="0.2">
      <c r="A80">
        <v>79</v>
      </c>
      <c r="B80" t="s">
        <v>66</v>
      </c>
      <c r="C80">
        <v>2014</v>
      </c>
      <c r="D80">
        <v>3</v>
      </c>
      <c r="E80">
        <v>0</v>
      </c>
      <c r="F80" t="s">
        <v>67</v>
      </c>
      <c r="G80">
        <v>0.25488</v>
      </c>
      <c r="H80">
        <v>0</v>
      </c>
      <c r="I80">
        <v>1.345</v>
      </c>
      <c r="J80">
        <v>1.4350000000000001</v>
      </c>
      <c r="K80">
        <v>2.577</v>
      </c>
      <c r="L80">
        <v>2.6619999999999999</v>
      </c>
      <c r="M80">
        <v>0.90200000000000002</v>
      </c>
      <c r="N80">
        <v>0.97199999999999998</v>
      </c>
      <c r="O80">
        <v>1.389</v>
      </c>
      <c r="P80">
        <v>3.1150000000000002</v>
      </c>
      <c r="Q80">
        <v>1</v>
      </c>
      <c r="R80">
        <v>15258</v>
      </c>
      <c r="S80">
        <v>-0.35199999999999998</v>
      </c>
      <c r="T80">
        <v>6.33</v>
      </c>
      <c r="U80">
        <v>6.66</v>
      </c>
      <c r="V80">
        <v>52.1</v>
      </c>
      <c r="W80" t="s">
        <v>54</v>
      </c>
      <c r="X80" t="s">
        <v>55</v>
      </c>
      <c r="Y80" t="s">
        <v>59</v>
      </c>
      <c r="Z80">
        <v>0.79300000000000004</v>
      </c>
      <c r="AA80">
        <v>0.88300000000000001</v>
      </c>
      <c r="AB80">
        <v>513</v>
      </c>
      <c r="AC80">
        <v>19</v>
      </c>
      <c r="AD80">
        <v>58.457270000000001</v>
      </c>
      <c r="AE80">
        <v>-47.929200000000002</v>
      </c>
      <c r="AF80">
        <v>-15.780099999999999</v>
      </c>
      <c r="AG80" t="s">
        <v>57</v>
      </c>
      <c r="AH80" t="s">
        <v>58</v>
      </c>
      <c r="AI80">
        <v>9214.9779999999992</v>
      </c>
      <c r="AJ80">
        <v>0.50395570000000001</v>
      </c>
      <c r="AK80">
        <v>1870000000000</v>
      </c>
      <c r="AL80">
        <v>66.028509999999997</v>
      </c>
      <c r="AM80">
        <v>58.457270000000001</v>
      </c>
      <c r="AN80">
        <v>-4.1399619999999997</v>
      </c>
      <c r="AO80">
        <v>44.111699999999999</v>
      </c>
      <c r="AP80">
        <v>24.685410000000001</v>
      </c>
      <c r="AQ80">
        <v>3.5713530000000002</v>
      </c>
      <c r="AR80">
        <v>19.15354</v>
      </c>
      <c r="AS80">
        <v>2.500867</v>
      </c>
      <c r="AT80">
        <v>1.8452999999999999</v>
      </c>
      <c r="AU80">
        <v>1.9293210000000001</v>
      </c>
      <c r="AV80">
        <v>1.8452999999999999</v>
      </c>
      <c r="AW80">
        <v>28.256139999999998</v>
      </c>
      <c r="AX80">
        <v>0.13000010000000001</v>
      </c>
      <c r="AY80">
        <v>3.7263776401461</v>
      </c>
      <c r="AZ80" s="1">
        <v>5.8499999344348901E-2</v>
      </c>
      <c r="BA80" s="1">
        <v>0.115000002086163</v>
      </c>
      <c r="BB80" s="1">
        <v>0.173500001430511</v>
      </c>
      <c r="BC80" s="1">
        <v>10.444457999999999</v>
      </c>
      <c r="BD80" s="2">
        <v>24.685405816589999</v>
      </c>
      <c r="BE80" s="2">
        <f t="shared" si="2"/>
        <v>1.1005515070670029</v>
      </c>
      <c r="BF80" s="2">
        <f t="shared" si="3"/>
        <v>4.2680265590035544</v>
      </c>
      <c r="BG80">
        <v>1620988</v>
      </c>
      <c r="BH80" s="3">
        <v>34960</v>
      </c>
      <c r="BI80">
        <v>2.204248600907424</v>
      </c>
      <c r="BJ80" s="3">
        <v>363362</v>
      </c>
      <c r="BK80">
        <v>8711</v>
      </c>
      <c r="BL80">
        <v>2.4562175208867307</v>
      </c>
      <c r="BM80" s="3">
        <v>67107.129400000005</v>
      </c>
      <c r="BN80">
        <v>7539.6040000000066</v>
      </c>
      <c r="BO80">
        <v>12.657238905546354</v>
      </c>
      <c r="BP80">
        <v>373533970715.39398</v>
      </c>
      <c r="BQ80">
        <v>16474213450.614014</v>
      </c>
      <c r="BR80">
        <v>4.2240686527751743</v>
      </c>
      <c r="BS80">
        <v>0.26106069999999998</v>
      </c>
      <c r="BT80">
        <v>2.4613689999999999</v>
      </c>
      <c r="BU80">
        <v>-0.352483145005351</v>
      </c>
    </row>
    <row r="81" spans="1:73" x14ac:dyDescent="0.2">
      <c r="A81">
        <v>80</v>
      </c>
      <c r="B81" t="s">
        <v>66</v>
      </c>
      <c r="C81">
        <v>2015</v>
      </c>
      <c r="D81">
        <v>3</v>
      </c>
      <c r="E81">
        <v>0</v>
      </c>
      <c r="F81" t="s">
        <v>67</v>
      </c>
      <c r="G81">
        <v>0.25488</v>
      </c>
      <c r="H81">
        <v>0</v>
      </c>
      <c r="O81">
        <v>1.389</v>
      </c>
      <c r="P81">
        <v>4.2450000000000001</v>
      </c>
      <c r="Q81">
        <v>0</v>
      </c>
      <c r="R81">
        <v>15826</v>
      </c>
      <c r="S81">
        <v>-4.351</v>
      </c>
      <c r="T81">
        <v>9.0299999999999994</v>
      </c>
      <c r="U81">
        <v>8.43</v>
      </c>
      <c r="V81">
        <v>51.9</v>
      </c>
      <c r="W81" t="s">
        <v>54</v>
      </c>
      <c r="X81" t="s">
        <v>55</v>
      </c>
      <c r="Y81" t="s">
        <v>59</v>
      </c>
      <c r="Z81">
        <v>0.78500000000000003</v>
      </c>
      <c r="AA81">
        <v>0.876</v>
      </c>
      <c r="AB81">
        <v>513</v>
      </c>
      <c r="AC81">
        <v>19</v>
      </c>
      <c r="AD81">
        <v>67.537549999999996</v>
      </c>
      <c r="AE81">
        <v>-47.929200000000002</v>
      </c>
      <c r="AF81">
        <v>-15.780099999999999</v>
      </c>
      <c r="AG81" t="s">
        <v>57</v>
      </c>
      <c r="AH81" t="s">
        <v>58</v>
      </c>
      <c r="AI81">
        <v>8813.99</v>
      </c>
      <c r="AJ81">
        <v>-3.545763</v>
      </c>
      <c r="AK81">
        <v>1800000000000</v>
      </c>
      <c r="AL81">
        <v>66.829700000000003</v>
      </c>
      <c r="AM81">
        <v>67.537549999999996</v>
      </c>
      <c r="AN81">
        <v>-3.0401030000000002</v>
      </c>
      <c r="AO81">
        <v>43.748100000000001</v>
      </c>
      <c r="AP81">
        <v>26.95363</v>
      </c>
      <c r="AQ81">
        <v>3.5921500000000002</v>
      </c>
      <c r="AR81">
        <v>19.776820000000001</v>
      </c>
      <c r="AS81">
        <v>4.0497189999999996</v>
      </c>
      <c r="AT81">
        <v>2.2005520000000001</v>
      </c>
      <c r="AU81">
        <v>1.9293210000000001</v>
      </c>
      <c r="AV81">
        <v>2.2005520000000001</v>
      </c>
      <c r="AW81">
        <v>28.220040000000001</v>
      </c>
      <c r="AX81">
        <v>2.7</v>
      </c>
      <c r="AY81">
        <v>3.7263776401461</v>
      </c>
      <c r="AZ81" s="1">
        <v>5.8499999344348901E-2</v>
      </c>
      <c r="BA81" s="1">
        <v>0.115000002086163</v>
      </c>
      <c r="BB81" s="1">
        <v>0.173500001430511</v>
      </c>
      <c r="BC81" s="1">
        <v>13.215939000000001</v>
      </c>
      <c r="BD81" s="2">
        <v>26.953625937679</v>
      </c>
      <c r="BE81" s="2">
        <f t="shared" si="2"/>
        <v>2.2682201210890014</v>
      </c>
      <c r="BF81" s="2">
        <f t="shared" si="3"/>
        <v>9.1885065124780265</v>
      </c>
      <c r="BG81">
        <v>1616530</v>
      </c>
      <c r="BH81" s="3">
        <v>4458</v>
      </c>
      <c r="BI81">
        <v>0.27501745848827996</v>
      </c>
      <c r="BJ81" s="3">
        <v>347221</v>
      </c>
      <c r="BK81">
        <v>16141</v>
      </c>
      <c r="BL81">
        <v>4.4421265845080109</v>
      </c>
      <c r="BM81" s="3">
        <v>61604.176299999999</v>
      </c>
      <c r="BN81">
        <v>5502.9531000000061</v>
      </c>
      <c r="BO81">
        <v>8.2002510749625444</v>
      </c>
      <c r="BP81">
        <v>321439054723.60797</v>
      </c>
      <c r="BQ81">
        <v>52094915991.786011</v>
      </c>
      <c r="BR81">
        <v>13.946500205058618</v>
      </c>
      <c r="BS81">
        <v>0.62327960000000004</v>
      </c>
      <c r="BT81">
        <v>3.9989919999999999</v>
      </c>
      <c r="BU81">
        <v>-4.3514750660441504</v>
      </c>
    </row>
    <row r="82" spans="1:73" x14ac:dyDescent="0.2">
      <c r="A82">
        <v>81</v>
      </c>
      <c r="B82" t="s">
        <v>66</v>
      </c>
      <c r="C82">
        <v>2016</v>
      </c>
      <c r="D82">
        <v>3</v>
      </c>
      <c r="E82">
        <v>0</v>
      </c>
      <c r="F82" t="s">
        <v>67</v>
      </c>
      <c r="G82">
        <v>0.25488</v>
      </c>
      <c r="H82">
        <v>0</v>
      </c>
      <c r="O82">
        <v>2.3050000000000002</v>
      </c>
      <c r="P82">
        <v>5.367</v>
      </c>
      <c r="Q82">
        <v>0</v>
      </c>
      <c r="R82">
        <v>13873</v>
      </c>
      <c r="S82">
        <v>-4.069</v>
      </c>
      <c r="T82">
        <v>8.74</v>
      </c>
      <c r="U82">
        <v>11.6</v>
      </c>
      <c r="V82">
        <v>53.3</v>
      </c>
      <c r="W82" t="s">
        <v>54</v>
      </c>
      <c r="X82" t="s">
        <v>55</v>
      </c>
      <c r="Y82" t="s">
        <v>59</v>
      </c>
      <c r="Z82">
        <v>0.69</v>
      </c>
      <c r="AA82">
        <v>0.80600000000000005</v>
      </c>
      <c r="AB82">
        <v>513</v>
      </c>
      <c r="AC82">
        <v>19</v>
      </c>
      <c r="AD82">
        <v>73.418800000000005</v>
      </c>
      <c r="AE82">
        <v>-47.929200000000002</v>
      </c>
      <c r="AF82">
        <v>-15.780099999999999</v>
      </c>
      <c r="AG82" t="s">
        <v>57</v>
      </c>
      <c r="AH82" t="s">
        <v>58</v>
      </c>
      <c r="AI82">
        <v>8455.3130000000001</v>
      </c>
      <c r="AJ82">
        <v>-3.2759170000000002</v>
      </c>
      <c r="AK82">
        <v>1740000000000</v>
      </c>
      <c r="AL82">
        <v>62.194009999999999</v>
      </c>
      <c r="AM82">
        <v>73.418800000000005</v>
      </c>
      <c r="AN82">
        <v>-1.362997</v>
      </c>
      <c r="AO82">
        <v>43.577509999999997</v>
      </c>
      <c r="AP82">
        <v>24.53368</v>
      </c>
      <c r="AQ82">
        <v>4.1373790000000001</v>
      </c>
      <c r="AR82">
        <v>20.379300000000001</v>
      </c>
      <c r="AS82">
        <v>0.26984669999999999</v>
      </c>
      <c r="AT82">
        <v>2.16791</v>
      </c>
      <c r="AU82">
        <v>5.3130249999999997</v>
      </c>
      <c r="AV82">
        <v>2.16791</v>
      </c>
      <c r="AW82">
        <v>28.186730000000001</v>
      </c>
      <c r="AX82">
        <v>0.28999999999999998</v>
      </c>
      <c r="AY82">
        <v>4.4537081149753899</v>
      </c>
      <c r="AZ82" s="1">
        <v>5.8499999344348901E-2</v>
      </c>
      <c r="BA82" s="1">
        <v>0.115000002086163</v>
      </c>
      <c r="BB82" s="1">
        <v>0.173500001430511</v>
      </c>
      <c r="BC82" s="1">
        <v>13.215939000000001</v>
      </c>
      <c r="BD82" s="2">
        <v>24.533682078845001</v>
      </c>
      <c r="BE82" s="2">
        <f t="shared" si="2"/>
        <v>2.4199438588339994</v>
      </c>
      <c r="BF82" s="2">
        <f t="shared" si="3"/>
        <v>8.9781755687686999</v>
      </c>
      <c r="BG82">
        <v>1731889</v>
      </c>
      <c r="BH82" s="3">
        <v>115359</v>
      </c>
      <c r="BI82">
        <v>7.1362115147878482</v>
      </c>
      <c r="BJ82" s="3">
        <v>363029</v>
      </c>
      <c r="BK82">
        <v>15808</v>
      </c>
      <c r="BL82">
        <v>4.55272002557449</v>
      </c>
      <c r="BM82" s="3">
        <v>59601.145900000003</v>
      </c>
      <c r="BN82">
        <v>2003.030399999996</v>
      </c>
      <c r="BO82">
        <v>3.2514522883085704</v>
      </c>
      <c r="BP82">
        <v>282449055291.659</v>
      </c>
      <c r="BQ82">
        <v>38989999431.948975</v>
      </c>
      <c r="BR82">
        <v>12.129826434897542</v>
      </c>
      <c r="BS82">
        <v>0.60247799999999996</v>
      </c>
      <c r="BT82">
        <v>0.28206439999999999</v>
      </c>
      <c r="BU82">
        <v>-4.0694109238141696</v>
      </c>
    </row>
    <row r="83" spans="1:73" x14ac:dyDescent="0.2">
      <c r="A83">
        <v>82</v>
      </c>
      <c r="B83" t="s">
        <v>66</v>
      </c>
      <c r="C83">
        <v>2017</v>
      </c>
      <c r="D83">
        <v>3</v>
      </c>
      <c r="E83">
        <v>0</v>
      </c>
      <c r="F83" t="s">
        <v>67</v>
      </c>
      <c r="G83">
        <v>0.25488</v>
      </c>
      <c r="H83">
        <v>0</v>
      </c>
      <c r="O83">
        <v>2.3050000000000002</v>
      </c>
      <c r="P83">
        <v>4.4039999999999999</v>
      </c>
      <c r="Q83">
        <v>0</v>
      </c>
      <c r="R83">
        <v>13951.6</v>
      </c>
      <c r="S83">
        <v>0.50800000000000001</v>
      </c>
      <c r="T83">
        <v>3.45</v>
      </c>
      <c r="U83">
        <v>12.82</v>
      </c>
      <c r="V83">
        <v>53.3</v>
      </c>
      <c r="W83" t="s">
        <v>54</v>
      </c>
      <c r="X83" t="s">
        <v>55</v>
      </c>
      <c r="Y83" t="s">
        <v>59</v>
      </c>
      <c r="Z83">
        <v>0.626</v>
      </c>
      <c r="AA83">
        <v>0.77200000000000002</v>
      </c>
      <c r="AB83">
        <v>513</v>
      </c>
      <c r="AC83">
        <v>19</v>
      </c>
      <c r="AE83">
        <v>-47.929200000000002</v>
      </c>
      <c r="AF83">
        <v>-15.780099999999999</v>
      </c>
      <c r="AG83" t="s">
        <v>57</v>
      </c>
      <c r="AH83" t="s">
        <v>58</v>
      </c>
      <c r="AI83">
        <v>8498.2939999999999</v>
      </c>
      <c r="AJ83">
        <v>1.3228690000000001</v>
      </c>
      <c r="AK83">
        <v>1770000000000</v>
      </c>
      <c r="AL83">
        <v>59.484310000000001</v>
      </c>
      <c r="AN83">
        <v>-1.067755</v>
      </c>
      <c r="AO83">
        <v>43.450060000000001</v>
      </c>
      <c r="AP83">
        <v>24.31973</v>
      </c>
      <c r="AQ83">
        <v>3.33826</v>
      </c>
      <c r="AR83">
        <v>20.161909999999999</v>
      </c>
      <c r="AS83">
        <v>4.5987859999999996</v>
      </c>
      <c r="AT83">
        <v>1.2383740000000001</v>
      </c>
      <c r="AU83">
        <v>5.3130249999999997</v>
      </c>
      <c r="AV83">
        <v>1.2383740000000001</v>
      </c>
      <c r="AW83">
        <v>28.199870000000001</v>
      </c>
      <c r="AX83">
        <v>5.29</v>
      </c>
      <c r="AY83">
        <v>4.4537081149753899</v>
      </c>
      <c r="AZ83" s="1">
        <v>5.8499999344348901E-2</v>
      </c>
      <c r="BA83" s="1">
        <v>0.115000002086163</v>
      </c>
      <c r="BB83" s="1">
        <v>0.173500001430511</v>
      </c>
      <c r="BC83" s="1" t="s">
        <v>101</v>
      </c>
      <c r="BD83" s="2">
        <v>24.319734373155999</v>
      </c>
      <c r="BE83" s="2">
        <f t="shared" si="2"/>
        <v>0.21394770568900157</v>
      </c>
      <c r="BF83" s="2">
        <f t="shared" si="3"/>
        <v>0.87205705609711648</v>
      </c>
      <c r="BG83">
        <v>1943770</v>
      </c>
      <c r="BH83" s="3">
        <v>211881</v>
      </c>
      <c r="BI83">
        <v>12.234098143703205</v>
      </c>
      <c r="BJ83" s="3">
        <v>383840</v>
      </c>
      <c r="BK83">
        <v>20811</v>
      </c>
      <c r="BL83">
        <v>5.73259987494112</v>
      </c>
      <c r="BM83" s="3">
        <v>47544.9784</v>
      </c>
      <c r="BN83">
        <v>12056.167500000003</v>
      </c>
      <c r="BO83">
        <v>20.228080044346935</v>
      </c>
      <c r="BP83">
        <v>275225828681.38397</v>
      </c>
      <c r="BQ83">
        <v>7223226610.2750244</v>
      </c>
      <c r="BR83">
        <v>2.5573555566741999</v>
      </c>
      <c r="BS83">
        <v>0.217392</v>
      </c>
      <c r="BT83">
        <v>4.5777489999999998</v>
      </c>
      <c r="BU83">
        <v>0.50833798031449395</v>
      </c>
    </row>
    <row r="84" spans="1:73" x14ac:dyDescent="0.2">
      <c r="A84">
        <v>83</v>
      </c>
      <c r="B84" t="s">
        <v>66</v>
      </c>
      <c r="C84">
        <v>2018</v>
      </c>
      <c r="D84">
        <v>3</v>
      </c>
      <c r="E84">
        <v>0</v>
      </c>
      <c r="F84" t="s">
        <v>67</v>
      </c>
      <c r="G84">
        <v>0.25488</v>
      </c>
      <c r="H84">
        <v>0</v>
      </c>
      <c r="O84">
        <v>2.9929999999999999</v>
      </c>
      <c r="P84">
        <v>5.3630000000000004</v>
      </c>
      <c r="Q84">
        <v>1</v>
      </c>
      <c r="R84">
        <v>14033.6</v>
      </c>
      <c r="S84">
        <v>0.52600000000000002</v>
      </c>
      <c r="T84">
        <v>3.66</v>
      </c>
      <c r="U84">
        <v>12.33</v>
      </c>
      <c r="V84">
        <v>53.9</v>
      </c>
      <c r="W84" t="s">
        <v>54</v>
      </c>
      <c r="X84" t="s">
        <v>55</v>
      </c>
      <c r="Y84" t="s">
        <v>59</v>
      </c>
      <c r="Z84">
        <v>0.59899999999999998</v>
      </c>
      <c r="AA84">
        <v>0.76200000000000001</v>
      </c>
      <c r="AB84">
        <v>513</v>
      </c>
      <c r="AC84">
        <v>19</v>
      </c>
      <c r="AE84">
        <v>-47.929200000000002</v>
      </c>
      <c r="AF84">
        <v>-15.780099999999999</v>
      </c>
      <c r="AG84" t="s">
        <v>57</v>
      </c>
      <c r="AH84" t="s">
        <v>58</v>
      </c>
      <c r="AI84">
        <v>8582.3389999999999</v>
      </c>
      <c r="AJ84">
        <v>1.7836669999999999</v>
      </c>
      <c r="AK84">
        <v>1800000000000</v>
      </c>
      <c r="AL84">
        <v>60.218350000000001</v>
      </c>
      <c r="AN84">
        <v>-2.6843270000000001</v>
      </c>
      <c r="AO84">
        <v>43.383380000000002</v>
      </c>
      <c r="AP84">
        <v>28.876200000000001</v>
      </c>
      <c r="AQ84">
        <v>4.0774869999999996</v>
      </c>
      <c r="AR84">
        <v>19.89509</v>
      </c>
      <c r="AS84">
        <v>0.46079769999999998</v>
      </c>
      <c r="AT84">
        <v>1.297463</v>
      </c>
      <c r="AU84">
        <v>8.9580490000000008</v>
      </c>
      <c r="AV84">
        <v>1.297463</v>
      </c>
      <c r="AW84">
        <v>28.217549999999999</v>
      </c>
      <c r="AX84">
        <v>0.21</v>
      </c>
      <c r="AY84">
        <v>5</v>
      </c>
      <c r="AZ84" s="1" t="s">
        <v>101</v>
      </c>
      <c r="BA84" s="1" t="s">
        <v>101</v>
      </c>
      <c r="BB84" s="1" t="s">
        <v>101</v>
      </c>
      <c r="BC84" s="1" t="s">
        <v>101</v>
      </c>
      <c r="BD84" s="2">
        <v>28.876203377402</v>
      </c>
      <c r="BE84" s="2">
        <f t="shared" si="2"/>
        <v>4.5564690042460008</v>
      </c>
      <c r="BF84" s="2">
        <f t="shared" si="3"/>
        <v>18.735685737075354</v>
      </c>
      <c r="BG84">
        <v>2222910</v>
      </c>
      <c r="BH84" s="3">
        <v>279140</v>
      </c>
      <c r="BI84">
        <v>14.360752558173035</v>
      </c>
      <c r="BJ84" s="3">
        <v>410226</v>
      </c>
      <c r="BK84">
        <v>26386</v>
      </c>
      <c r="BL84">
        <v>6.8742184243434767</v>
      </c>
      <c r="BM84" s="3">
        <v>76138.154699999999</v>
      </c>
      <c r="BN84">
        <v>28593.176299999999</v>
      </c>
      <c r="BO84">
        <v>60.13921398689709</v>
      </c>
      <c r="BP84">
        <v>289624978842.66901</v>
      </c>
      <c r="BQ84">
        <v>14399150161.285034</v>
      </c>
      <c r="BR84">
        <v>5.2317583092661897</v>
      </c>
      <c r="BS84">
        <v>0.26681709999999997</v>
      </c>
      <c r="BT84">
        <v>0.4806221</v>
      </c>
      <c r="BU84">
        <v>0.98896003262385102</v>
      </c>
    </row>
    <row r="85" spans="1:73" x14ac:dyDescent="0.2">
      <c r="A85">
        <v>84</v>
      </c>
      <c r="B85" t="s">
        <v>66</v>
      </c>
      <c r="C85">
        <v>2019</v>
      </c>
      <c r="D85">
        <v>3</v>
      </c>
      <c r="E85">
        <v>0</v>
      </c>
      <c r="F85" t="s">
        <v>67</v>
      </c>
      <c r="G85">
        <v>0.25488</v>
      </c>
      <c r="H85">
        <v>0</v>
      </c>
      <c r="O85">
        <v>2.9929999999999999</v>
      </c>
      <c r="Q85">
        <v>0</v>
      </c>
      <c r="S85">
        <v>0.379</v>
      </c>
      <c r="T85">
        <v>3.73</v>
      </c>
      <c r="U85">
        <v>11.93</v>
      </c>
      <c r="V85">
        <v>53.4</v>
      </c>
      <c r="W85" t="s">
        <v>54</v>
      </c>
      <c r="X85" t="s">
        <v>55</v>
      </c>
      <c r="Y85" t="s">
        <v>59</v>
      </c>
      <c r="Z85">
        <v>0.52300000000000002</v>
      </c>
      <c r="AA85">
        <v>0.69299999999999995</v>
      </c>
      <c r="AB85">
        <v>513</v>
      </c>
      <c r="AC85">
        <v>19</v>
      </c>
      <c r="AE85">
        <v>-47.929200000000002</v>
      </c>
      <c r="AF85">
        <v>-15.780099999999999</v>
      </c>
      <c r="AG85" t="s">
        <v>57</v>
      </c>
      <c r="AH85" t="s">
        <v>58</v>
      </c>
      <c r="AI85">
        <v>8622.0660000000007</v>
      </c>
      <c r="AJ85">
        <v>1.2207779999999999</v>
      </c>
      <c r="AK85">
        <v>1820000000000</v>
      </c>
      <c r="AL85">
        <v>62.790500000000002</v>
      </c>
      <c r="AN85">
        <v>-3.4714309999999999</v>
      </c>
      <c r="AO85">
        <v>43.391379999999998</v>
      </c>
      <c r="AP85">
        <v>28.890260000000001</v>
      </c>
      <c r="AQ85">
        <v>3.6926730000000001</v>
      </c>
      <c r="AR85">
        <v>19.98358</v>
      </c>
      <c r="AS85">
        <v>0.56288890000000003</v>
      </c>
      <c r="AT85">
        <v>1.316408</v>
      </c>
      <c r="AU85">
        <v>8.9580490000000008</v>
      </c>
      <c r="AV85">
        <v>1.316408</v>
      </c>
      <c r="AW85">
        <v>28.229679999999998</v>
      </c>
      <c r="AX85">
        <v>6.9999900000000004E-2</v>
      </c>
      <c r="AY85">
        <v>5</v>
      </c>
      <c r="AZ85" s="1" t="s">
        <v>101</v>
      </c>
      <c r="BA85" s="1" t="s">
        <v>101</v>
      </c>
      <c r="BB85" s="1" t="s">
        <v>101</v>
      </c>
      <c r="BC85" s="1" t="s">
        <v>101</v>
      </c>
      <c r="BD85" s="2">
        <v>28.890257866588001</v>
      </c>
      <c r="BE85" s="2">
        <f t="shared" si="2"/>
        <v>1.4054489186001717E-2</v>
      </c>
      <c r="BF85" s="2">
        <f t="shared" si="3"/>
        <v>4.8671527216768769E-2</v>
      </c>
      <c r="BG85">
        <v>2412128</v>
      </c>
      <c r="BH85" s="3">
        <v>189218</v>
      </c>
      <c r="BI85">
        <v>8.5121754816884181</v>
      </c>
      <c r="BJ85" s="3">
        <v>447722</v>
      </c>
      <c r="BK85">
        <v>37496</v>
      </c>
      <c r="BL85">
        <v>9.1403275267779218</v>
      </c>
      <c r="BM85" s="3">
        <v>46354.807200000003</v>
      </c>
      <c r="BN85">
        <v>29783.347499999996</v>
      </c>
      <c r="BO85">
        <v>39.117506350597168</v>
      </c>
      <c r="BP85">
        <v>301285475962.78998</v>
      </c>
      <c r="BQ85">
        <v>11660497120.120972</v>
      </c>
      <c r="BR85">
        <v>4.0260674913869305</v>
      </c>
      <c r="BS85">
        <v>8.8493299999999997E-2</v>
      </c>
      <c r="BT85">
        <v>0.52605630000000003</v>
      </c>
      <c r="BU85">
        <v>0.46290368658041797</v>
      </c>
    </row>
    <row r="86" spans="1:73" x14ac:dyDescent="0.2">
      <c r="A86">
        <v>85</v>
      </c>
      <c r="B86" t="s">
        <v>68</v>
      </c>
      <c r="C86">
        <v>1992</v>
      </c>
      <c r="D86">
        <v>4</v>
      </c>
      <c r="E86">
        <v>0</v>
      </c>
      <c r="F86" t="s">
        <v>69</v>
      </c>
      <c r="G86">
        <v>0.81899999999999995</v>
      </c>
      <c r="H86">
        <v>0</v>
      </c>
      <c r="O86">
        <v>-1.649</v>
      </c>
      <c r="Q86">
        <v>0</v>
      </c>
      <c r="R86">
        <v>11773.3</v>
      </c>
      <c r="S86">
        <v>9.3469999999999995</v>
      </c>
      <c r="T86">
        <v>15.43</v>
      </c>
      <c r="U86">
        <v>4.3499999999999996</v>
      </c>
      <c r="V86">
        <v>54.8</v>
      </c>
      <c r="W86" t="s">
        <v>54</v>
      </c>
      <c r="X86" t="s">
        <v>55</v>
      </c>
      <c r="Y86" t="s">
        <v>59</v>
      </c>
      <c r="Z86">
        <v>0.76</v>
      </c>
      <c r="AA86">
        <v>0.82799999999999996</v>
      </c>
      <c r="AB86">
        <v>120</v>
      </c>
      <c r="AC86">
        <v>2</v>
      </c>
      <c r="AE86">
        <v>-70.647499999999994</v>
      </c>
      <c r="AF86">
        <v>-33.475000000000001</v>
      </c>
      <c r="AG86" t="s">
        <v>70</v>
      </c>
      <c r="AH86" t="s">
        <v>58</v>
      </c>
      <c r="AI86">
        <v>6271.9549999999999</v>
      </c>
      <c r="AJ86">
        <v>11.16671</v>
      </c>
      <c r="AK86">
        <v>86100000000</v>
      </c>
      <c r="AN86">
        <v>-2.0818319999999999</v>
      </c>
      <c r="AO86">
        <v>56.358310000000003</v>
      </c>
      <c r="AP86">
        <v>56.254049999999999</v>
      </c>
      <c r="AQ86">
        <v>2.0365790000000001</v>
      </c>
      <c r="AR86">
        <v>9.6738929999999996</v>
      </c>
      <c r="AT86">
        <v>2.7363140000000001</v>
      </c>
      <c r="AU86">
        <v>2.719201</v>
      </c>
      <c r="AV86">
        <v>2.7363140000000001</v>
      </c>
      <c r="AW86">
        <v>25.1782</v>
      </c>
      <c r="AY86">
        <v>1.3141178338891499</v>
      </c>
      <c r="AZ86" s="1">
        <v>0</v>
      </c>
      <c r="BA86" s="1">
        <v>0</v>
      </c>
      <c r="BB86" s="1">
        <v>0</v>
      </c>
      <c r="BC86" s="1">
        <v>5.0561800000000003</v>
      </c>
      <c r="BD86" s="2">
        <v>54.348433549939003</v>
      </c>
      <c r="BE86" s="2"/>
      <c r="BF86" s="2"/>
      <c r="BG86">
        <v>5568650</v>
      </c>
      <c r="BH86" s="3">
        <v>1428170</v>
      </c>
      <c r="BI86">
        <v>34.49286073112296</v>
      </c>
      <c r="BJ86">
        <v>1441220</v>
      </c>
      <c r="BK86">
        <v>418390</v>
      </c>
      <c r="BL86">
        <v>40.905135750809031</v>
      </c>
      <c r="BM86" s="3">
        <v>538.29999999999995</v>
      </c>
      <c r="BN86">
        <v>159.10000000000002</v>
      </c>
      <c r="BO86">
        <v>22.813306567249789</v>
      </c>
      <c r="BP86">
        <v>11793000128.8398</v>
      </c>
      <c r="BQ86">
        <v>2284466100.3356991</v>
      </c>
      <c r="BR86">
        <v>24.02542908809567</v>
      </c>
      <c r="BU86">
        <v>9.3471552158647295</v>
      </c>
    </row>
    <row r="87" spans="1:73" x14ac:dyDescent="0.2">
      <c r="A87">
        <v>86</v>
      </c>
      <c r="B87" t="s">
        <v>68</v>
      </c>
      <c r="C87">
        <v>1993</v>
      </c>
      <c r="D87">
        <v>4</v>
      </c>
      <c r="E87">
        <v>0</v>
      </c>
      <c r="F87" t="s">
        <v>69</v>
      </c>
      <c r="G87">
        <v>0.81899999999999995</v>
      </c>
      <c r="H87">
        <v>0</v>
      </c>
      <c r="O87">
        <v>-1.649</v>
      </c>
      <c r="Q87">
        <v>1</v>
      </c>
      <c r="R87">
        <v>12296.9</v>
      </c>
      <c r="S87">
        <v>4.8680000000000003</v>
      </c>
      <c r="T87">
        <v>12.73</v>
      </c>
      <c r="U87">
        <v>4.49</v>
      </c>
      <c r="W87" t="s">
        <v>54</v>
      </c>
      <c r="X87" t="s">
        <v>55</v>
      </c>
      <c r="Y87" t="s">
        <v>59</v>
      </c>
      <c r="Z87">
        <v>0.75600000000000001</v>
      </c>
      <c r="AA87">
        <v>0.82499999999999996</v>
      </c>
      <c r="AB87">
        <v>120</v>
      </c>
      <c r="AC87">
        <v>2</v>
      </c>
      <c r="AE87">
        <v>-70.647499999999994</v>
      </c>
      <c r="AF87">
        <v>-33.475000000000001</v>
      </c>
      <c r="AG87" t="s">
        <v>70</v>
      </c>
      <c r="AH87" t="s">
        <v>58</v>
      </c>
      <c r="AI87">
        <v>6577.2790000000005</v>
      </c>
      <c r="AJ87">
        <v>6.5887840000000004</v>
      </c>
      <c r="AK87">
        <v>91700000000</v>
      </c>
      <c r="AN87">
        <v>-5.1771099999999999</v>
      </c>
      <c r="AO87">
        <v>56.29766</v>
      </c>
      <c r="AP87">
        <v>53.609070000000003</v>
      </c>
      <c r="AQ87">
        <v>2.0980660000000002</v>
      </c>
      <c r="AR87">
        <v>10.03354</v>
      </c>
      <c r="AS87">
        <v>4.5779240000000003</v>
      </c>
      <c r="AT87">
        <v>2.5439609999999999</v>
      </c>
      <c r="AU87">
        <v>2.719201</v>
      </c>
      <c r="AV87">
        <v>2.5439609999999999</v>
      </c>
      <c r="AW87">
        <v>25.242000000000001</v>
      </c>
      <c r="AX87">
        <v>2.7000009999999999</v>
      </c>
      <c r="AY87">
        <v>1.3141178338891499</v>
      </c>
      <c r="AZ87" s="1">
        <v>0.107500001788139</v>
      </c>
      <c r="BA87" s="1">
        <v>0.15099999308586101</v>
      </c>
      <c r="BB87" s="1">
        <v>0.25849997997283902</v>
      </c>
      <c r="BC87" s="1">
        <v>5.0561800000000003</v>
      </c>
      <c r="BD87" s="2">
        <v>52.083887097992999</v>
      </c>
      <c r="BE87" s="2">
        <f t="shared" si="2"/>
        <v>2.2645464519460035</v>
      </c>
      <c r="BF87" s="2">
        <f t="shared" si="3"/>
        <v>4.1667188988348407</v>
      </c>
      <c r="BG87">
        <v>6914540</v>
      </c>
      <c r="BH87" s="3">
        <v>1345890</v>
      </c>
      <c r="BI87">
        <v>24.169053540804324</v>
      </c>
      <c r="BJ87">
        <v>1738260</v>
      </c>
      <c r="BK87">
        <v>297040</v>
      </c>
      <c r="BL87">
        <v>20.610316259835418</v>
      </c>
      <c r="BM87" s="3">
        <v>600.1</v>
      </c>
      <c r="BN87">
        <v>61.800000000000068</v>
      </c>
      <c r="BO87">
        <v>11.480587033252847</v>
      </c>
      <c r="BP87">
        <v>13910552971.791599</v>
      </c>
      <c r="BQ87">
        <v>2117552842.9517994</v>
      </c>
      <c r="BR87">
        <v>17.956014752966215</v>
      </c>
      <c r="BS87">
        <v>0.35964970000000002</v>
      </c>
      <c r="BT87">
        <v>4.4790570000000001</v>
      </c>
      <c r="BU87">
        <v>4.8680986903309797</v>
      </c>
    </row>
    <row r="88" spans="1:73" x14ac:dyDescent="0.2">
      <c r="A88">
        <v>87</v>
      </c>
      <c r="B88" t="s">
        <v>68</v>
      </c>
      <c r="C88">
        <v>1994</v>
      </c>
      <c r="D88">
        <v>4</v>
      </c>
      <c r="E88">
        <v>1</v>
      </c>
      <c r="F88" t="s">
        <v>69</v>
      </c>
      <c r="G88">
        <v>0.81899999999999995</v>
      </c>
      <c r="H88">
        <v>0</v>
      </c>
      <c r="I88">
        <v>1.319</v>
      </c>
      <c r="J88">
        <v>1.6040000000000001</v>
      </c>
      <c r="K88">
        <v>2.552</v>
      </c>
      <c r="L88">
        <v>2.8140000000000001</v>
      </c>
      <c r="M88">
        <v>0.91800000000000004</v>
      </c>
      <c r="N88">
        <v>1.125</v>
      </c>
      <c r="O88">
        <v>-1.649</v>
      </c>
      <c r="Q88">
        <v>0</v>
      </c>
      <c r="R88">
        <v>12692.6</v>
      </c>
      <c r="S88">
        <v>3.3889999999999998</v>
      </c>
      <c r="T88">
        <v>11.44</v>
      </c>
      <c r="U88">
        <v>5.87</v>
      </c>
      <c r="V88">
        <v>56.4</v>
      </c>
      <c r="W88" t="s">
        <v>54</v>
      </c>
      <c r="X88" t="s">
        <v>55</v>
      </c>
      <c r="Y88" t="s">
        <v>59</v>
      </c>
      <c r="Z88">
        <v>0.79400000000000004</v>
      </c>
      <c r="AA88">
        <v>0.86</v>
      </c>
      <c r="AB88">
        <v>120</v>
      </c>
      <c r="AC88">
        <v>2</v>
      </c>
      <c r="AE88">
        <v>-70.647499999999994</v>
      </c>
      <c r="AF88">
        <v>-33.475000000000001</v>
      </c>
      <c r="AG88" t="s">
        <v>70</v>
      </c>
      <c r="AH88" t="s">
        <v>58</v>
      </c>
      <c r="AI88">
        <v>6800.1589999999997</v>
      </c>
      <c r="AJ88">
        <v>5.0301980000000004</v>
      </c>
      <c r="AK88">
        <v>96300000000</v>
      </c>
      <c r="AN88">
        <v>-2.7837990000000001</v>
      </c>
      <c r="AO88">
        <v>56.191609999999997</v>
      </c>
      <c r="AP88">
        <v>53.215029999999999</v>
      </c>
      <c r="AQ88">
        <v>4.529331</v>
      </c>
      <c r="AR88">
        <v>9.948696</v>
      </c>
      <c r="AS88">
        <v>1.558586</v>
      </c>
      <c r="AT88">
        <v>2.4371160000000001</v>
      </c>
      <c r="AU88">
        <v>2.719201</v>
      </c>
      <c r="AV88">
        <v>2.4371160000000001</v>
      </c>
      <c r="AW88">
        <v>25.291080000000001</v>
      </c>
      <c r="AX88">
        <v>1.29</v>
      </c>
      <c r="AY88">
        <v>1.3141178338891499</v>
      </c>
      <c r="AZ88" s="1">
        <v>0.107500001788139</v>
      </c>
      <c r="BA88" s="1">
        <v>0.15099999308586101</v>
      </c>
      <c r="BB88" s="1">
        <v>0.25849997997283902</v>
      </c>
      <c r="BC88" s="1">
        <v>4.8419639999999999</v>
      </c>
      <c r="BD88" s="2">
        <v>51.948759135929002</v>
      </c>
      <c r="BE88" s="2">
        <f t="shared" si="2"/>
        <v>0.13512796206399713</v>
      </c>
      <c r="BF88" s="2">
        <f t="shared" si="3"/>
        <v>0.25944292869263236</v>
      </c>
      <c r="BG88">
        <v>8203530</v>
      </c>
      <c r="BH88" s="3">
        <v>1288990</v>
      </c>
      <c r="BI88">
        <v>18.641731771021643</v>
      </c>
      <c r="BJ88">
        <v>2096140</v>
      </c>
      <c r="BK88">
        <v>357880</v>
      </c>
      <c r="BL88">
        <v>20.588404496450472</v>
      </c>
      <c r="BM88" s="3">
        <v>1671.4</v>
      </c>
      <c r="BN88">
        <v>1071.3000000000002</v>
      </c>
      <c r="BO88">
        <v>178.52024662556244</v>
      </c>
      <c r="BP88">
        <v>14771068326.9708</v>
      </c>
      <c r="BQ88">
        <v>860515355.17920113</v>
      </c>
      <c r="BR88">
        <v>6.1860614522240063</v>
      </c>
      <c r="BS88">
        <v>8.4846500000000005E-2</v>
      </c>
      <c r="BT88">
        <v>1.4794639999999999</v>
      </c>
      <c r="BU88">
        <v>3.3886352064973999</v>
      </c>
    </row>
    <row r="89" spans="1:73" x14ac:dyDescent="0.2">
      <c r="A89">
        <v>88</v>
      </c>
      <c r="B89" t="s">
        <v>68</v>
      </c>
      <c r="C89">
        <v>1995</v>
      </c>
      <c r="D89">
        <v>4</v>
      </c>
      <c r="E89">
        <v>0</v>
      </c>
      <c r="F89" t="s">
        <v>69</v>
      </c>
      <c r="G89">
        <v>0.81899999999999995</v>
      </c>
      <c r="H89">
        <v>0</v>
      </c>
      <c r="I89">
        <v>1.319</v>
      </c>
      <c r="J89">
        <v>1.6040000000000001</v>
      </c>
      <c r="K89">
        <v>2.552</v>
      </c>
      <c r="L89">
        <v>2.8140000000000001</v>
      </c>
      <c r="M89">
        <v>0.91800000000000004</v>
      </c>
      <c r="N89">
        <v>1.125</v>
      </c>
      <c r="O89">
        <v>-1.649</v>
      </c>
      <c r="P89">
        <v>4.2789999999999999</v>
      </c>
      <c r="Q89">
        <v>0</v>
      </c>
      <c r="R89">
        <v>13715.9</v>
      </c>
      <c r="S89">
        <v>7.3079999999999998</v>
      </c>
      <c r="T89">
        <v>8.23</v>
      </c>
      <c r="U89">
        <v>4.7</v>
      </c>
      <c r="W89" t="s">
        <v>54</v>
      </c>
      <c r="X89" t="s">
        <v>55</v>
      </c>
      <c r="Y89" t="s">
        <v>59</v>
      </c>
      <c r="Z89">
        <v>0.79400000000000004</v>
      </c>
      <c r="AA89">
        <v>0.86</v>
      </c>
      <c r="AB89">
        <v>120</v>
      </c>
      <c r="AC89">
        <v>2</v>
      </c>
      <c r="AE89">
        <v>-70.647499999999994</v>
      </c>
      <c r="AF89">
        <v>-33.475000000000001</v>
      </c>
      <c r="AG89" t="s">
        <v>70</v>
      </c>
      <c r="AH89" t="s">
        <v>58</v>
      </c>
      <c r="AI89">
        <v>7297.1390000000001</v>
      </c>
      <c r="AJ89">
        <v>8.9332960000000003</v>
      </c>
      <c r="AK89">
        <v>105000000000</v>
      </c>
      <c r="AN89">
        <v>-1.8375140000000001</v>
      </c>
      <c r="AO89">
        <v>56.013210000000001</v>
      </c>
      <c r="AP89">
        <v>54.967149999999997</v>
      </c>
      <c r="AQ89">
        <v>4.0260290000000003</v>
      </c>
      <c r="AR89">
        <v>9.8291000000000004</v>
      </c>
      <c r="AS89">
        <v>3.903098</v>
      </c>
      <c r="AT89">
        <v>2.1077859999999999</v>
      </c>
      <c r="AU89">
        <v>2.719201</v>
      </c>
      <c r="AV89">
        <v>2.1077859999999999</v>
      </c>
      <c r="AW89">
        <v>25.376639999999998</v>
      </c>
      <c r="AX89">
        <v>3.21</v>
      </c>
      <c r="AY89">
        <v>1.3141178338891499</v>
      </c>
      <c r="AZ89" s="1">
        <v>0.107500001788139</v>
      </c>
      <c r="BA89" s="1">
        <v>0.15099999308586101</v>
      </c>
      <c r="BB89" s="1">
        <v>0.25849997997283902</v>
      </c>
      <c r="BC89" s="1">
        <v>4.8419639999999999</v>
      </c>
      <c r="BD89" s="2">
        <v>53.752120759091</v>
      </c>
      <c r="BE89" s="2">
        <f t="shared" si="2"/>
        <v>1.8033616231619973</v>
      </c>
      <c r="BF89" s="2">
        <f t="shared" si="3"/>
        <v>3.4714238668210062</v>
      </c>
      <c r="BG89">
        <v>10401030</v>
      </c>
      <c r="BH89" s="3">
        <v>2197500</v>
      </c>
      <c r="BI89">
        <v>26.787248903825549</v>
      </c>
      <c r="BJ89">
        <v>2588660</v>
      </c>
      <c r="BK89">
        <v>492520</v>
      </c>
      <c r="BL89">
        <v>23.496522178862097</v>
      </c>
      <c r="BM89" s="3">
        <v>2205</v>
      </c>
      <c r="BN89">
        <v>533.59999999999991</v>
      </c>
      <c r="BO89">
        <v>31.925332056958233</v>
      </c>
      <c r="BP89">
        <v>18242230275.785999</v>
      </c>
      <c r="BQ89">
        <v>3471161948.8151989</v>
      </c>
      <c r="BR89">
        <v>23.499735239035704</v>
      </c>
      <c r="BS89">
        <v>0.11959649999999999</v>
      </c>
      <c r="BT89">
        <v>3.9197129999999998</v>
      </c>
      <c r="BU89">
        <v>7.30834810795879</v>
      </c>
    </row>
    <row r="90" spans="1:73" x14ac:dyDescent="0.2">
      <c r="A90">
        <v>89</v>
      </c>
      <c r="B90" t="s">
        <v>68</v>
      </c>
      <c r="C90">
        <v>1996</v>
      </c>
      <c r="D90">
        <v>4</v>
      </c>
      <c r="E90">
        <v>0</v>
      </c>
      <c r="F90" t="s">
        <v>69</v>
      </c>
      <c r="G90">
        <v>0.81899999999999995</v>
      </c>
      <c r="H90">
        <v>0</v>
      </c>
      <c r="I90">
        <v>1.319</v>
      </c>
      <c r="J90">
        <v>1.6040000000000001</v>
      </c>
      <c r="K90">
        <v>2.552</v>
      </c>
      <c r="L90">
        <v>2.8140000000000001</v>
      </c>
      <c r="M90">
        <v>0.91800000000000004</v>
      </c>
      <c r="N90">
        <v>1.125</v>
      </c>
      <c r="O90">
        <v>-1.9730000000000001</v>
      </c>
      <c r="P90">
        <v>4.0250000000000004</v>
      </c>
      <c r="Q90">
        <v>0</v>
      </c>
      <c r="R90">
        <v>14433.3</v>
      </c>
      <c r="S90">
        <v>5.2910000000000004</v>
      </c>
      <c r="T90">
        <v>7.36</v>
      </c>
      <c r="U90">
        <v>7.41</v>
      </c>
      <c r="V90">
        <v>54.9</v>
      </c>
      <c r="W90" t="s">
        <v>54</v>
      </c>
      <c r="X90" t="s">
        <v>55</v>
      </c>
      <c r="Y90" t="s">
        <v>59</v>
      </c>
      <c r="Z90">
        <v>0.79500000000000004</v>
      </c>
      <c r="AA90">
        <v>0.86</v>
      </c>
      <c r="AB90">
        <v>120</v>
      </c>
      <c r="AC90">
        <v>2</v>
      </c>
      <c r="AE90">
        <v>-70.647499999999994</v>
      </c>
      <c r="AF90">
        <v>-33.475000000000001</v>
      </c>
      <c r="AG90" t="s">
        <v>70</v>
      </c>
      <c r="AH90" t="s">
        <v>58</v>
      </c>
      <c r="AI90">
        <v>7683.2290000000003</v>
      </c>
      <c r="AJ90">
        <v>6.8029169999999999</v>
      </c>
      <c r="AK90">
        <v>112000000000</v>
      </c>
      <c r="AN90">
        <v>-3.9232279999999999</v>
      </c>
      <c r="AO90">
        <v>55.805160000000001</v>
      </c>
      <c r="AP90">
        <v>53.920749999999998</v>
      </c>
      <c r="AQ90">
        <v>6.1274620000000004</v>
      </c>
      <c r="AR90">
        <v>11.30424</v>
      </c>
      <c r="AS90">
        <v>2.1303800000000002</v>
      </c>
      <c r="AT90">
        <v>1.9960599999999999</v>
      </c>
      <c r="AU90">
        <v>3.8927290000000001</v>
      </c>
      <c r="AV90">
        <v>1.9960599999999999</v>
      </c>
      <c r="AW90">
        <v>25.442460000000001</v>
      </c>
      <c r="AX90">
        <v>0.86999939999999998</v>
      </c>
      <c r="AY90">
        <v>1.05685246942989</v>
      </c>
      <c r="AZ90" s="1">
        <v>0.107500001788139</v>
      </c>
      <c r="BA90" s="1">
        <v>0.15099999308586101</v>
      </c>
      <c r="BB90" s="1">
        <v>0.25849997997283902</v>
      </c>
      <c r="BC90" s="1">
        <v>4.8419639999999999</v>
      </c>
      <c r="BD90" s="2">
        <v>53.920749894421</v>
      </c>
      <c r="BE90" s="2">
        <f t="shared" si="2"/>
        <v>0.16862913533000068</v>
      </c>
      <c r="BF90" s="2">
        <f t="shared" si="3"/>
        <v>0.31371624588687647</v>
      </c>
      <c r="BG90">
        <v>12503190</v>
      </c>
      <c r="BH90" s="3">
        <v>2102160</v>
      </c>
      <c r="BI90">
        <v>20.211075249278196</v>
      </c>
      <c r="BJ90">
        <v>2859570</v>
      </c>
      <c r="BK90">
        <v>270910</v>
      </c>
      <c r="BL90">
        <v>10.465260018696933</v>
      </c>
      <c r="BM90" s="3">
        <v>3681.1637999999998</v>
      </c>
      <c r="BN90">
        <v>1476.1637999999998</v>
      </c>
      <c r="BO90">
        <v>66.946204081632644</v>
      </c>
      <c r="BP90">
        <v>19869208780.249298</v>
      </c>
      <c r="BQ90">
        <v>1626978504.4632988</v>
      </c>
      <c r="BR90">
        <v>8.9187477620150677</v>
      </c>
      <c r="BS90">
        <v>1.475139</v>
      </c>
      <c r="BT90">
        <v>2.0173649999999999</v>
      </c>
      <c r="BU90">
        <v>5.2909835180048104</v>
      </c>
    </row>
    <row r="91" spans="1:73" x14ac:dyDescent="0.2">
      <c r="A91">
        <v>90</v>
      </c>
      <c r="B91" t="s">
        <v>68</v>
      </c>
      <c r="C91">
        <v>1997</v>
      </c>
      <c r="D91">
        <v>4</v>
      </c>
      <c r="E91">
        <v>0</v>
      </c>
      <c r="F91" t="s">
        <v>69</v>
      </c>
      <c r="G91">
        <v>0.81899999999999995</v>
      </c>
      <c r="H91">
        <v>0</v>
      </c>
      <c r="I91">
        <v>1.319</v>
      </c>
      <c r="J91">
        <v>1.6040000000000001</v>
      </c>
      <c r="K91">
        <v>2.552</v>
      </c>
      <c r="L91">
        <v>2.8140000000000001</v>
      </c>
      <c r="M91">
        <v>0.91800000000000004</v>
      </c>
      <c r="N91">
        <v>1.125</v>
      </c>
      <c r="O91">
        <v>-1.9730000000000001</v>
      </c>
      <c r="P91">
        <v>3.93</v>
      </c>
      <c r="Q91">
        <v>1</v>
      </c>
      <c r="R91">
        <v>15079.8</v>
      </c>
      <c r="S91">
        <v>5.9829999999999997</v>
      </c>
      <c r="T91">
        <v>6.13</v>
      </c>
      <c r="U91">
        <v>7.14</v>
      </c>
      <c r="W91" t="s">
        <v>54</v>
      </c>
      <c r="X91" t="s">
        <v>55</v>
      </c>
      <c r="Y91" t="s">
        <v>59</v>
      </c>
      <c r="Z91">
        <v>0.79500000000000004</v>
      </c>
      <c r="AA91">
        <v>0.86</v>
      </c>
      <c r="AB91">
        <v>120</v>
      </c>
      <c r="AC91">
        <v>2</v>
      </c>
      <c r="AE91">
        <v>-70.647499999999994</v>
      </c>
      <c r="AF91">
        <v>-33.475000000000001</v>
      </c>
      <c r="AG91" t="s">
        <v>70</v>
      </c>
      <c r="AH91" t="s">
        <v>58</v>
      </c>
      <c r="AI91">
        <v>8140.1840000000002</v>
      </c>
      <c r="AJ91">
        <v>7.3917390000000003</v>
      </c>
      <c r="AK91">
        <v>120000000000</v>
      </c>
      <c r="AN91">
        <v>-4.2694960000000002</v>
      </c>
      <c r="AO91">
        <v>55.458350000000003</v>
      </c>
      <c r="AP91">
        <v>54.099299999999999</v>
      </c>
      <c r="AQ91">
        <v>6.1489180000000001</v>
      </c>
      <c r="AR91">
        <v>11.43764</v>
      </c>
      <c r="AS91">
        <v>0.58882279999999998</v>
      </c>
      <c r="AT91">
        <v>1.8131949999999999</v>
      </c>
      <c r="AU91">
        <v>3.8927290000000001</v>
      </c>
      <c r="AV91">
        <v>1.8131949999999999</v>
      </c>
      <c r="AW91">
        <v>25.513780000000001</v>
      </c>
      <c r="AX91">
        <v>1.23</v>
      </c>
      <c r="AY91">
        <v>1.05685246942989</v>
      </c>
      <c r="AZ91" s="1">
        <v>6.7000001668930095E-2</v>
      </c>
      <c r="BA91" s="1">
        <v>7.0000000298023196E-2</v>
      </c>
      <c r="BB91" s="1">
        <v>0.13699999451637301</v>
      </c>
      <c r="BC91" s="1">
        <v>4.8419639999999999</v>
      </c>
      <c r="BD91" s="2">
        <v>54.099298179157003</v>
      </c>
      <c r="BE91" s="2">
        <f t="shared" si="2"/>
        <v>0.17854828473600293</v>
      </c>
      <c r="BF91" s="2">
        <f t="shared" si="3"/>
        <v>0.33113093769209007</v>
      </c>
      <c r="BG91">
        <v>15029167</v>
      </c>
      <c r="BH91" s="3">
        <v>2525977</v>
      </c>
      <c r="BI91">
        <v>20.202660281096264</v>
      </c>
      <c r="BJ91">
        <v>3333600</v>
      </c>
      <c r="BK91">
        <v>474030</v>
      </c>
      <c r="BL91">
        <v>16.576967865798004</v>
      </c>
      <c r="BM91" s="3">
        <v>3808.7071999999998</v>
      </c>
      <c r="BN91">
        <v>127.54340000000002</v>
      </c>
      <c r="BO91">
        <v>3.4647575313002923</v>
      </c>
      <c r="BP91">
        <v>22449170330.597401</v>
      </c>
      <c r="BQ91">
        <v>2579961550.3481026</v>
      </c>
      <c r="BR91">
        <v>12.984722134042279</v>
      </c>
      <c r="BS91">
        <v>0.13340569999999999</v>
      </c>
      <c r="BT91">
        <v>0.65644409999999997</v>
      </c>
      <c r="BU91">
        <v>5.9474275267751002</v>
      </c>
    </row>
    <row r="92" spans="1:73" x14ac:dyDescent="0.2">
      <c r="A92">
        <v>91</v>
      </c>
      <c r="B92" t="s">
        <v>68</v>
      </c>
      <c r="C92">
        <v>1998</v>
      </c>
      <c r="D92">
        <v>4</v>
      </c>
      <c r="E92">
        <v>1</v>
      </c>
      <c r="F92" t="s">
        <v>69</v>
      </c>
      <c r="G92">
        <v>0.81899999999999995</v>
      </c>
      <c r="H92">
        <v>0</v>
      </c>
      <c r="I92">
        <v>2.5289999999999999</v>
      </c>
      <c r="J92">
        <v>2.8180000000000001</v>
      </c>
      <c r="K92">
        <v>3.5339999999999998</v>
      </c>
      <c r="L92">
        <v>3.73</v>
      </c>
      <c r="M92">
        <v>1.254</v>
      </c>
      <c r="N92">
        <v>1.4670000000000001</v>
      </c>
      <c r="O92">
        <v>-1.9730000000000001</v>
      </c>
      <c r="P92">
        <v>4.218</v>
      </c>
      <c r="Q92">
        <v>0</v>
      </c>
      <c r="R92">
        <v>15259.5</v>
      </c>
      <c r="S92">
        <v>2.9910000000000001</v>
      </c>
      <c r="T92">
        <v>5.1100000000000003</v>
      </c>
      <c r="U92">
        <v>7.31</v>
      </c>
      <c r="V92">
        <v>55.5</v>
      </c>
      <c r="W92" t="s">
        <v>54</v>
      </c>
      <c r="X92" t="s">
        <v>55</v>
      </c>
      <c r="Y92" t="s">
        <v>59</v>
      </c>
      <c r="Z92">
        <v>0.79300000000000004</v>
      </c>
      <c r="AA92">
        <v>0.86</v>
      </c>
      <c r="AB92">
        <v>120</v>
      </c>
      <c r="AC92">
        <v>2</v>
      </c>
      <c r="AE92">
        <v>-70.647499999999994</v>
      </c>
      <c r="AF92">
        <v>-33.475000000000001</v>
      </c>
      <c r="AG92" t="s">
        <v>70</v>
      </c>
      <c r="AH92" t="s">
        <v>58</v>
      </c>
      <c r="AI92">
        <v>8372.0810000000001</v>
      </c>
      <c r="AJ92">
        <v>4.1808870000000002</v>
      </c>
      <c r="AK92">
        <v>125000000000</v>
      </c>
      <c r="AN92">
        <v>-4.7788469999999998</v>
      </c>
      <c r="AO92">
        <v>54.995310000000003</v>
      </c>
      <c r="AP92">
        <v>53.836179999999999</v>
      </c>
      <c r="AQ92">
        <v>5.6440039999999998</v>
      </c>
      <c r="AR92">
        <v>11.807589999999999</v>
      </c>
      <c r="AS92">
        <v>3.2108530000000002</v>
      </c>
      <c r="AT92">
        <v>1.6311990000000001</v>
      </c>
      <c r="AU92">
        <v>3.8927290000000001</v>
      </c>
      <c r="AV92">
        <v>1.6311990000000001</v>
      </c>
      <c r="AW92">
        <v>25.554739999999999</v>
      </c>
      <c r="AX92">
        <v>1.02</v>
      </c>
      <c r="AY92">
        <v>1.05685246942989</v>
      </c>
      <c r="AZ92" s="1">
        <v>6.7000001668930095E-2</v>
      </c>
      <c r="BA92" s="1">
        <v>7.0000000298023196E-2</v>
      </c>
      <c r="BB92" s="1">
        <v>0.13699999451637301</v>
      </c>
      <c r="BC92" s="1">
        <v>5.1465335000000003</v>
      </c>
      <c r="BD92" s="2">
        <v>53.836178515530001</v>
      </c>
      <c r="BE92" s="2">
        <f t="shared" si="2"/>
        <v>0.2631196636270019</v>
      </c>
      <c r="BF92" s="2">
        <f t="shared" si="3"/>
        <v>0.48636428287044725</v>
      </c>
      <c r="BG92">
        <v>16708150</v>
      </c>
      <c r="BH92" s="3">
        <v>1678983</v>
      </c>
      <c r="BI92">
        <v>11.171497395697314</v>
      </c>
      <c r="BJ92">
        <v>3148970</v>
      </c>
      <c r="BK92">
        <v>184630</v>
      </c>
      <c r="BL92">
        <v>5.5384569234461241</v>
      </c>
      <c r="BM92" s="3">
        <v>3144.3366999999998</v>
      </c>
      <c r="BN92">
        <v>664.37049999999999</v>
      </c>
      <c r="BO92">
        <v>17.443464806115841</v>
      </c>
      <c r="BP92">
        <v>23243311774.2687</v>
      </c>
      <c r="BQ92">
        <v>794141443.67129898</v>
      </c>
      <c r="BR92">
        <v>3.5375091015676117</v>
      </c>
      <c r="BS92">
        <v>0.36994270000000001</v>
      </c>
      <c r="BT92">
        <v>3.098624</v>
      </c>
      <c r="BU92">
        <v>2.84880430047538</v>
      </c>
    </row>
    <row r="93" spans="1:73" x14ac:dyDescent="0.2">
      <c r="A93">
        <v>92</v>
      </c>
      <c r="B93" t="s">
        <v>68</v>
      </c>
      <c r="C93">
        <v>1999</v>
      </c>
      <c r="D93">
        <v>4</v>
      </c>
      <c r="E93">
        <v>0</v>
      </c>
      <c r="F93" t="s">
        <v>69</v>
      </c>
      <c r="G93">
        <v>0.81899999999999995</v>
      </c>
      <c r="H93">
        <v>0</v>
      </c>
      <c r="I93">
        <v>2.5289999999999999</v>
      </c>
      <c r="J93">
        <v>2.8180000000000001</v>
      </c>
      <c r="K93">
        <v>3.5339999999999998</v>
      </c>
      <c r="L93">
        <v>3.73</v>
      </c>
      <c r="M93">
        <v>1.254</v>
      </c>
      <c r="N93">
        <v>1.4670000000000001</v>
      </c>
      <c r="O93">
        <v>-1.9730000000000001</v>
      </c>
      <c r="P93">
        <v>4.218</v>
      </c>
      <c r="Q93">
        <v>0</v>
      </c>
      <c r="R93">
        <v>14846.4</v>
      </c>
      <c r="S93">
        <v>-1.6279999999999999</v>
      </c>
      <c r="T93">
        <v>3.34</v>
      </c>
      <c r="U93">
        <v>11.16</v>
      </c>
      <c r="W93" t="s">
        <v>54</v>
      </c>
      <c r="X93" t="s">
        <v>55</v>
      </c>
      <c r="Y93" t="s">
        <v>59</v>
      </c>
      <c r="Z93">
        <v>0.78900000000000003</v>
      </c>
      <c r="AA93">
        <v>0.85399999999999998</v>
      </c>
      <c r="AB93">
        <v>120</v>
      </c>
      <c r="AC93">
        <v>2</v>
      </c>
      <c r="AE93">
        <v>-70.647499999999994</v>
      </c>
      <c r="AF93">
        <v>-33.475000000000001</v>
      </c>
      <c r="AG93" t="s">
        <v>70</v>
      </c>
      <c r="AH93" t="s">
        <v>58</v>
      </c>
      <c r="AI93">
        <v>8247.27</v>
      </c>
      <c r="AJ93">
        <v>-0.27363140000000002</v>
      </c>
      <c r="AK93">
        <v>125000000000</v>
      </c>
      <c r="AN93">
        <v>0.1314063</v>
      </c>
      <c r="AO93">
        <v>54.439689999999999</v>
      </c>
      <c r="AP93">
        <v>54.695610000000002</v>
      </c>
      <c r="AQ93">
        <v>11.58924</v>
      </c>
      <c r="AR93">
        <v>12.652200000000001</v>
      </c>
      <c r="AS93">
        <v>4.4545180000000002</v>
      </c>
      <c r="AT93">
        <v>1.2059709999999999</v>
      </c>
      <c r="AU93">
        <v>3.8927290000000001</v>
      </c>
      <c r="AV93">
        <v>1.2059709999999999</v>
      </c>
      <c r="AW93">
        <v>25.552</v>
      </c>
      <c r="AX93">
        <v>1.77</v>
      </c>
      <c r="AY93">
        <v>1.05685246942989</v>
      </c>
      <c r="AZ93" s="1">
        <v>6.7000001668930095E-2</v>
      </c>
      <c r="BA93" s="1">
        <v>7.0000000298023196E-2</v>
      </c>
      <c r="BB93" s="1">
        <v>0.13699999451637301</v>
      </c>
      <c r="BC93" s="1">
        <v>5.1465335000000003</v>
      </c>
      <c r="BD93" s="2">
        <v>54.695609832007001</v>
      </c>
      <c r="BE93" s="2">
        <f t="shared" si="2"/>
        <v>0.859431316477</v>
      </c>
      <c r="BF93" s="2">
        <f t="shared" si="3"/>
        <v>1.5963824702547968</v>
      </c>
      <c r="BG93">
        <v>18514530</v>
      </c>
      <c r="BH93" s="3">
        <v>1806380</v>
      </c>
      <c r="BI93">
        <v>10.811370498828417</v>
      </c>
      <c r="BJ93">
        <v>3791870</v>
      </c>
      <c r="BK93">
        <v>642900</v>
      </c>
      <c r="BL93">
        <v>20.416199582720701</v>
      </c>
      <c r="BM93" s="3">
        <v>6203.0923000000003</v>
      </c>
      <c r="BN93">
        <v>3058.7556000000004</v>
      </c>
      <c r="BO93">
        <v>97.278246315033655</v>
      </c>
      <c r="BP93">
        <v>20101558017.185902</v>
      </c>
      <c r="BQ93">
        <v>3141753757.082798</v>
      </c>
      <c r="BR93">
        <v>13.516807706210129</v>
      </c>
      <c r="BS93">
        <v>0.84461779999999997</v>
      </c>
      <c r="BT93">
        <v>4.3396160000000004</v>
      </c>
      <c r="BU93">
        <v>-1.4908115488329701</v>
      </c>
    </row>
    <row r="94" spans="1:73" x14ac:dyDescent="0.2">
      <c r="A94">
        <v>93</v>
      </c>
      <c r="B94" t="s">
        <v>68</v>
      </c>
      <c r="C94">
        <v>2000</v>
      </c>
      <c r="D94">
        <v>4</v>
      </c>
      <c r="E94">
        <v>0</v>
      </c>
      <c r="F94" t="s">
        <v>69</v>
      </c>
      <c r="G94">
        <v>0.81899999999999995</v>
      </c>
      <c r="H94">
        <v>0</v>
      </c>
      <c r="I94">
        <v>2.5289999999999999</v>
      </c>
      <c r="J94">
        <v>2.8180000000000001</v>
      </c>
      <c r="K94">
        <v>3.5339999999999998</v>
      </c>
      <c r="L94">
        <v>3.73</v>
      </c>
      <c r="M94">
        <v>1.254</v>
      </c>
      <c r="N94">
        <v>1.4670000000000001</v>
      </c>
      <c r="O94">
        <v>-1.9730000000000001</v>
      </c>
      <c r="P94">
        <v>4.3319999999999999</v>
      </c>
      <c r="Q94">
        <v>0</v>
      </c>
      <c r="R94">
        <v>15211.6</v>
      </c>
      <c r="S94">
        <v>4.0940000000000003</v>
      </c>
      <c r="T94">
        <v>3.84</v>
      </c>
      <c r="U94">
        <v>10.49</v>
      </c>
      <c r="V94">
        <v>52.8</v>
      </c>
      <c r="W94" t="s">
        <v>54</v>
      </c>
      <c r="X94" t="s">
        <v>55</v>
      </c>
      <c r="Y94" t="s">
        <v>59</v>
      </c>
      <c r="Z94">
        <v>0.81499999999999995</v>
      </c>
      <c r="AA94">
        <v>0.879</v>
      </c>
      <c r="AB94">
        <v>120</v>
      </c>
      <c r="AC94">
        <v>2</v>
      </c>
      <c r="AE94">
        <v>-70.647499999999994</v>
      </c>
      <c r="AF94">
        <v>-33.475000000000001</v>
      </c>
      <c r="AG94" t="s">
        <v>70</v>
      </c>
      <c r="AH94" t="s">
        <v>58</v>
      </c>
      <c r="AI94">
        <v>8555.9779999999992</v>
      </c>
      <c r="AJ94">
        <v>4.971622</v>
      </c>
      <c r="AK94">
        <v>131000000000</v>
      </c>
      <c r="AN94">
        <v>-1.147</v>
      </c>
      <c r="AO94">
        <v>53.804459999999999</v>
      </c>
      <c r="AP94">
        <v>58.711919999999999</v>
      </c>
      <c r="AQ94">
        <v>6.2108920000000003</v>
      </c>
      <c r="AR94">
        <v>12.59093</v>
      </c>
      <c r="AS94">
        <v>5.2452529999999999</v>
      </c>
      <c r="AT94">
        <v>1.345472</v>
      </c>
      <c r="AU94">
        <v>3.8927290000000001</v>
      </c>
      <c r="AV94">
        <v>1.345472</v>
      </c>
      <c r="AW94">
        <v>25.600519999999999</v>
      </c>
      <c r="AX94">
        <v>0.5</v>
      </c>
      <c r="AY94">
        <v>1.05685246942989</v>
      </c>
      <c r="AZ94" s="1">
        <v>6.7000001668930095E-2</v>
      </c>
      <c r="BA94" s="1">
        <v>7.0000000298023196E-2</v>
      </c>
      <c r="BB94" s="1">
        <v>0.13699999451637301</v>
      </c>
      <c r="BC94" s="1">
        <v>5.1465335000000003</v>
      </c>
      <c r="BD94" s="2">
        <v>58.711923087739002</v>
      </c>
      <c r="BE94" s="2">
        <f t="shared" si="2"/>
        <v>4.0163132557320012</v>
      </c>
      <c r="BF94" s="2">
        <f t="shared" si="3"/>
        <v>7.3430267402955591</v>
      </c>
      <c r="BG94">
        <v>20165200</v>
      </c>
      <c r="BH94" s="3">
        <v>1650670</v>
      </c>
      <c r="BI94">
        <v>8.9155382286236815</v>
      </c>
      <c r="BJ94">
        <v>4145410</v>
      </c>
      <c r="BK94">
        <v>353540</v>
      </c>
      <c r="BL94">
        <v>9.3236318755653542</v>
      </c>
      <c r="BM94" s="3">
        <v>873.37049999999999</v>
      </c>
      <c r="BN94">
        <v>5329.7218000000003</v>
      </c>
      <c r="BO94">
        <v>85.920401345632087</v>
      </c>
      <c r="BP94">
        <v>22078214162.800598</v>
      </c>
      <c r="BQ94">
        <v>1976656145.6146965</v>
      </c>
      <c r="BR94">
        <v>9.8333479620074584</v>
      </c>
      <c r="BS94">
        <v>6.1278300000000001E-2</v>
      </c>
      <c r="BT94">
        <v>5.233968</v>
      </c>
      <c r="BU94">
        <v>3.7431558577644801</v>
      </c>
    </row>
    <row r="95" spans="1:73" x14ac:dyDescent="0.2">
      <c r="A95">
        <v>94</v>
      </c>
      <c r="B95" t="s">
        <v>68</v>
      </c>
      <c r="C95">
        <v>2001</v>
      </c>
      <c r="D95">
        <v>4</v>
      </c>
      <c r="E95">
        <v>0</v>
      </c>
      <c r="F95" t="s">
        <v>69</v>
      </c>
      <c r="G95">
        <v>0.81899999999999995</v>
      </c>
      <c r="H95">
        <v>0</v>
      </c>
      <c r="I95">
        <v>2.5289999999999999</v>
      </c>
      <c r="J95">
        <v>2.8180000000000001</v>
      </c>
      <c r="K95">
        <v>3.5339999999999998</v>
      </c>
      <c r="L95">
        <v>3.73</v>
      </c>
      <c r="M95">
        <v>1.254</v>
      </c>
      <c r="N95">
        <v>1.4670000000000001</v>
      </c>
      <c r="O95">
        <v>-1.9730000000000001</v>
      </c>
      <c r="P95">
        <v>4.4660000000000002</v>
      </c>
      <c r="Q95">
        <v>1</v>
      </c>
      <c r="R95">
        <v>15448</v>
      </c>
      <c r="S95">
        <v>2.1459999999999999</v>
      </c>
      <c r="T95">
        <v>3.57</v>
      </c>
      <c r="U95">
        <v>10.39</v>
      </c>
      <c r="W95" t="s">
        <v>54</v>
      </c>
      <c r="X95" t="s">
        <v>55</v>
      </c>
      <c r="Y95" t="s">
        <v>59</v>
      </c>
      <c r="Z95">
        <v>0.81499999999999995</v>
      </c>
      <c r="AA95">
        <v>0.879</v>
      </c>
      <c r="AB95">
        <v>120</v>
      </c>
      <c r="AC95">
        <v>2</v>
      </c>
      <c r="AE95">
        <v>-70.647499999999994</v>
      </c>
      <c r="AF95">
        <v>-33.475000000000001</v>
      </c>
      <c r="AG95" t="s">
        <v>70</v>
      </c>
      <c r="AH95" t="s">
        <v>58</v>
      </c>
      <c r="AI95">
        <v>8726.9969999999994</v>
      </c>
      <c r="AJ95">
        <v>3.1540349999999999</v>
      </c>
      <c r="AK95">
        <v>135000000000</v>
      </c>
      <c r="AL95">
        <v>73.081699999999998</v>
      </c>
      <c r="AN95">
        <v>-1.538273</v>
      </c>
      <c r="AO95">
        <v>52.952379999999998</v>
      </c>
      <c r="AP95">
        <v>62.144770000000001</v>
      </c>
      <c r="AQ95">
        <v>5.8723919999999996</v>
      </c>
      <c r="AR95">
        <v>12.6431</v>
      </c>
      <c r="AS95">
        <v>1.8175870000000001</v>
      </c>
      <c r="AT95">
        <v>1.2725660000000001</v>
      </c>
      <c r="AU95">
        <v>3.8927290000000001</v>
      </c>
      <c r="AV95">
        <v>1.2725660000000001</v>
      </c>
      <c r="AW95">
        <v>25.63157</v>
      </c>
      <c r="AX95">
        <v>0.27</v>
      </c>
      <c r="AY95">
        <v>1.05685246942989</v>
      </c>
      <c r="AZ95" s="1">
        <v>3.5500001162290601E-2</v>
      </c>
      <c r="BA95" s="1">
        <v>0.149000003933907</v>
      </c>
      <c r="BB95" s="1">
        <v>0.18450000882148701</v>
      </c>
      <c r="BC95" s="1">
        <v>5.1465335000000003</v>
      </c>
      <c r="BD95" s="2">
        <v>62.144766968608003</v>
      </c>
      <c r="BE95" s="2">
        <f t="shared" si="2"/>
        <v>3.4328438808690009</v>
      </c>
      <c r="BF95" s="2">
        <f t="shared" si="3"/>
        <v>5.8469280179069667</v>
      </c>
      <c r="BG95">
        <v>20829960</v>
      </c>
      <c r="BH95" s="3">
        <v>664760</v>
      </c>
      <c r="BI95">
        <v>3.2965703290817845</v>
      </c>
      <c r="BJ95">
        <v>4311700</v>
      </c>
      <c r="BK95">
        <v>166290</v>
      </c>
      <c r="BL95">
        <v>4.0114246841687553</v>
      </c>
      <c r="BM95" s="3">
        <v>2590.0309999999999</v>
      </c>
      <c r="BN95">
        <v>1716.6605</v>
      </c>
      <c r="BO95">
        <v>196.55581451400064</v>
      </c>
      <c r="BP95">
        <v>22573346510.3335</v>
      </c>
      <c r="BQ95">
        <v>495132347.53290176</v>
      </c>
      <c r="BR95">
        <v>2.2426286106380209</v>
      </c>
      <c r="BS95">
        <v>5.2171700000000001E-2</v>
      </c>
      <c r="BT95">
        <v>1.7443230000000001</v>
      </c>
      <c r="BU95">
        <v>1.9988324217711</v>
      </c>
    </row>
    <row r="96" spans="1:73" x14ac:dyDescent="0.2">
      <c r="A96">
        <v>95</v>
      </c>
      <c r="B96" t="s">
        <v>68</v>
      </c>
      <c r="C96">
        <v>2002</v>
      </c>
      <c r="D96">
        <v>4</v>
      </c>
      <c r="E96">
        <v>1</v>
      </c>
      <c r="F96" t="s">
        <v>69</v>
      </c>
      <c r="G96">
        <v>0.81899999999999995</v>
      </c>
      <c r="H96">
        <v>0</v>
      </c>
      <c r="I96">
        <v>2.1110000000000002</v>
      </c>
      <c r="J96">
        <v>2.5169999999999999</v>
      </c>
      <c r="K96">
        <v>3.2749999999999999</v>
      </c>
      <c r="L96">
        <v>3.5259999999999998</v>
      </c>
      <c r="M96">
        <v>1.165</v>
      </c>
      <c r="N96">
        <v>1.4390000000000001</v>
      </c>
      <c r="O96">
        <v>-1.9730000000000001</v>
      </c>
      <c r="P96">
        <v>4.415</v>
      </c>
      <c r="Q96">
        <v>0</v>
      </c>
      <c r="R96">
        <v>15509.8</v>
      </c>
      <c r="S96">
        <v>2.0009999999999999</v>
      </c>
      <c r="T96">
        <v>2.4900000000000002</v>
      </c>
      <c r="U96">
        <v>10.17</v>
      </c>
      <c r="W96" t="s">
        <v>54</v>
      </c>
      <c r="X96" t="s">
        <v>55</v>
      </c>
      <c r="Y96" t="s">
        <v>59</v>
      </c>
      <c r="Z96">
        <v>0.81399999999999995</v>
      </c>
      <c r="AA96">
        <v>0.877</v>
      </c>
      <c r="AB96">
        <v>120</v>
      </c>
      <c r="AC96">
        <v>2</v>
      </c>
      <c r="AE96">
        <v>-70.647499999999994</v>
      </c>
      <c r="AF96">
        <v>-33.475000000000001</v>
      </c>
      <c r="AG96" t="s">
        <v>70</v>
      </c>
      <c r="AH96" t="s">
        <v>58</v>
      </c>
      <c r="AI96">
        <v>8909.8610000000008</v>
      </c>
      <c r="AJ96">
        <v>3.2027990000000002</v>
      </c>
      <c r="AK96">
        <v>140000000000</v>
      </c>
      <c r="AL96">
        <v>74.346100000000007</v>
      </c>
      <c r="AN96">
        <v>-0.82520349999999998</v>
      </c>
      <c r="AO96">
        <v>52.114139999999999</v>
      </c>
      <c r="AP96">
        <v>62.483849999999997</v>
      </c>
      <c r="AQ96">
        <v>3.6274660000000001</v>
      </c>
      <c r="AR96">
        <v>12.74859</v>
      </c>
      <c r="AS96">
        <v>4.8764200000000001E-2</v>
      </c>
      <c r="AT96">
        <v>0.9122827</v>
      </c>
      <c r="AU96">
        <v>3.8927290000000001</v>
      </c>
      <c r="AV96">
        <v>0.9122827</v>
      </c>
      <c r="AW96">
        <v>25.66309</v>
      </c>
      <c r="AX96">
        <v>1.08</v>
      </c>
      <c r="AY96">
        <v>1.05685246942989</v>
      </c>
      <c r="AZ96" s="1">
        <v>3.5500001162290601E-2</v>
      </c>
      <c r="BA96" s="1">
        <v>0.149000003933907</v>
      </c>
      <c r="BB96" s="1">
        <v>0.18450000882148701</v>
      </c>
      <c r="BC96" s="1">
        <v>5.8252424999999999</v>
      </c>
      <c r="BD96" s="2">
        <v>62.483851901568002</v>
      </c>
      <c r="BE96" s="2">
        <f t="shared" si="2"/>
        <v>0.33908493295999875</v>
      </c>
      <c r="BF96" s="2">
        <f t="shared" si="3"/>
        <v>0.54563714613538605</v>
      </c>
      <c r="BG96">
        <v>22091206</v>
      </c>
      <c r="BH96" s="3">
        <v>1261246</v>
      </c>
      <c r="BI96">
        <v>6.0549612193206324</v>
      </c>
      <c r="BJ96">
        <v>5062574</v>
      </c>
      <c r="BK96">
        <v>750874</v>
      </c>
      <c r="BL96">
        <v>17.414801586381241</v>
      </c>
      <c r="BM96" s="3">
        <v>2206.7696999999998</v>
      </c>
      <c r="BN96">
        <v>383.26130000000012</v>
      </c>
      <c r="BO96">
        <v>14.797556477123251</v>
      </c>
      <c r="BP96">
        <v>23573206165.5956</v>
      </c>
      <c r="BQ96">
        <v>999859655.26210022</v>
      </c>
      <c r="BR96">
        <v>4.4293815930411116</v>
      </c>
      <c r="BS96">
        <v>0.1054964</v>
      </c>
      <c r="BT96">
        <v>9.6552799999999994E-2</v>
      </c>
      <c r="BU96">
        <v>2.0953854055796799</v>
      </c>
    </row>
    <row r="97" spans="1:73" x14ac:dyDescent="0.2">
      <c r="A97">
        <v>96</v>
      </c>
      <c r="B97" t="s">
        <v>68</v>
      </c>
      <c r="C97">
        <v>2003</v>
      </c>
      <c r="D97">
        <v>4</v>
      </c>
      <c r="E97">
        <v>0</v>
      </c>
      <c r="F97" t="s">
        <v>69</v>
      </c>
      <c r="G97">
        <v>0.81899999999999995</v>
      </c>
      <c r="H97">
        <v>0</v>
      </c>
      <c r="I97">
        <v>2.1110000000000002</v>
      </c>
      <c r="J97">
        <v>2.5169999999999999</v>
      </c>
      <c r="K97">
        <v>3.2749999999999999</v>
      </c>
      <c r="L97">
        <v>3.5259999999999998</v>
      </c>
      <c r="M97">
        <v>1.165</v>
      </c>
      <c r="N97">
        <v>1.4390000000000001</v>
      </c>
      <c r="O97">
        <v>-1.9730000000000001</v>
      </c>
      <c r="P97">
        <v>4.1740000000000004</v>
      </c>
      <c r="Q97">
        <v>0</v>
      </c>
      <c r="R97">
        <v>15809.2</v>
      </c>
      <c r="S97">
        <v>3.0059999999999998</v>
      </c>
      <c r="T97">
        <v>2.81</v>
      </c>
      <c r="U97">
        <v>9.77</v>
      </c>
      <c r="V97">
        <v>51.5</v>
      </c>
      <c r="W97" t="s">
        <v>54</v>
      </c>
      <c r="X97" t="s">
        <v>55</v>
      </c>
      <c r="Y97" t="s">
        <v>59</v>
      </c>
      <c r="Z97">
        <v>0.81399999999999995</v>
      </c>
      <c r="AA97">
        <v>0.877</v>
      </c>
      <c r="AB97">
        <v>120</v>
      </c>
      <c r="AC97">
        <v>2</v>
      </c>
      <c r="AE97">
        <v>-70.647499999999994</v>
      </c>
      <c r="AF97">
        <v>-33.475000000000001</v>
      </c>
      <c r="AG97" t="s">
        <v>70</v>
      </c>
      <c r="AH97" t="s">
        <v>58</v>
      </c>
      <c r="AI97">
        <v>9233.4220000000005</v>
      </c>
      <c r="AJ97">
        <v>4.7232450000000004</v>
      </c>
      <c r="AK97">
        <v>146000000000</v>
      </c>
      <c r="AL97">
        <v>75.832059999999998</v>
      </c>
      <c r="AN97">
        <v>-0.29042030000000002</v>
      </c>
      <c r="AO97">
        <v>51.261670000000002</v>
      </c>
      <c r="AP97">
        <v>65.693420000000003</v>
      </c>
      <c r="AQ97">
        <v>5.2628750000000002</v>
      </c>
      <c r="AR97">
        <v>12.178190000000001</v>
      </c>
      <c r="AS97">
        <v>1.520446</v>
      </c>
      <c r="AT97">
        <v>1.0331840000000001</v>
      </c>
      <c r="AU97">
        <v>3.8927290000000001</v>
      </c>
      <c r="AV97">
        <v>1.0331840000000001</v>
      </c>
      <c r="AW97">
        <v>25.709240000000001</v>
      </c>
      <c r="AX97">
        <v>0.3199999</v>
      </c>
      <c r="AY97">
        <v>1.05685246942989</v>
      </c>
      <c r="AZ97" s="1">
        <v>3.5500001162290601E-2</v>
      </c>
      <c r="BA97" s="1">
        <v>0.149000003933907</v>
      </c>
      <c r="BB97" s="1">
        <v>0.18450000882148701</v>
      </c>
      <c r="BC97" s="1">
        <v>5.8252424999999999</v>
      </c>
      <c r="BD97" s="2">
        <v>65.693419590917003</v>
      </c>
      <c r="BE97" s="2">
        <f t="shared" si="2"/>
        <v>3.2095676893490008</v>
      </c>
      <c r="BF97" s="2">
        <f t="shared" si="3"/>
        <v>5.1366354532769423</v>
      </c>
      <c r="BG97">
        <v>22049466</v>
      </c>
      <c r="BH97" s="3">
        <v>41740</v>
      </c>
      <c r="BI97">
        <v>0.1889439625885522</v>
      </c>
      <c r="BJ97">
        <v>5792050</v>
      </c>
      <c r="BK97">
        <v>729476</v>
      </c>
      <c r="BL97">
        <v>14.409191845887092</v>
      </c>
      <c r="BM97" s="3">
        <v>2317.3768</v>
      </c>
      <c r="BN97">
        <v>110.60710000000017</v>
      </c>
      <c r="BO97">
        <v>5.0121723168484769</v>
      </c>
      <c r="BP97">
        <v>25588388672.042999</v>
      </c>
      <c r="BQ97">
        <v>2015182506.4473991</v>
      </c>
      <c r="BR97">
        <v>8.5486144408667624</v>
      </c>
      <c r="BS97">
        <v>0.57040599999999997</v>
      </c>
      <c r="BT97">
        <v>1.536098</v>
      </c>
      <c r="BU97">
        <v>3.6314829112734199</v>
      </c>
    </row>
    <row r="98" spans="1:73" x14ac:dyDescent="0.2">
      <c r="A98">
        <v>97</v>
      </c>
      <c r="B98" t="s">
        <v>68</v>
      </c>
      <c r="C98">
        <v>2004</v>
      </c>
      <c r="D98">
        <v>4</v>
      </c>
      <c r="E98">
        <v>0</v>
      </c>
      <c r="F98" t="s">
        <v>69</v>
      </c>
      <c r="G98">
        <v>0.81899999999999995</v>
      </c>
      <c r="H98">
        <v>0</v>
      </c>
      <c r="I98">
        <v>2.1110000000000002</v>
      </c>
      <c r="J98">
        <v>2.5169999999999999</v>
      </c>
      <c r="K98">
        <v>3.2749999999999999</v>
      </c>
      <c r="L98">
        <v>3.5259999999999998</v>
      </c>
      <c r="M98">
        <v>1.165</v>
      </c>
      <c r="N98">
        <v>1.4390000000000001</v>
      </c>
      <c r="O98">
        <v>-1.9730000000000001</v>
      </c>
      <c r="P98">
        <v>3.7610000000000001</v>
      </c>
      <c r="Q98">
        <v>0</v>
      </c>
      <c r="R98">
        <v>16479</v>
      </c>
      <c r="S98">
        <v>6.1029999999999998</v>
      </c>
      <c r="T98">
        <v>1.05</v>
      </c>
      <c r="U98">
        <v>10.16</v>
      </c>
      <c r="W98" t="s">
        <v>54</v>
      </c>
      <c r="X98" t="s">
        <v>55</v>
      </c>
      <c r="Y98" t="s">
        <v>59</v>
      </c>
      <c r="Z98">
        <v>0.81399999999999995</v>
      </c>
      <c r="AA98">
        <v>0.877</v>
      </c>
      <c r="AB98">
        <v>120</v>
      </c>
      <c r="AC98">
        <v>2</v>
      </c>
      <c r="AE98">
        <v>-70.647499999999994</v>
      </c>
      <c r="AF98">
        <v>-33.475000000000001</v>
      </c>
      <c r="AG98" t="s">
        <v>70</v>
      </c>
      <c r="AH98" t="s">
        <v>58</v>
      </c>
      <c r="AI98">
        <v>9748.0049999999992</v>
      </c>
      <c r="AJ98">
        <v>6.6742540000000004</v>
      </c>
      <c r="AK98">
        <v>156000000000</v>
      </c>
      <c r="AL98">
        <v>76.749979999999994</v>
      </c>
      <c r="AN98">
        <v>2.847394</v>
      </c>
      <c r="AO98">
        <v>50.375210000000003</v>
      </c>
      <c r="AP98">
        <v>69.889359999999996</v>
      </c>
      <c r="AQ98">
        <v>6.8604209999999997</v>
      </c>
      <c r="AR98">
        <v>11.430210000000001</v>
      </c>
      <c r="AS98">
        <v>1.951009</v>
      </c>
      <c r="AT98">
        <v>4.8790100000000003E-2</v>
      </c>
      <c r="AU98">
        <v>3.8927290000000001</v>
      </c>
      <c r="AV98">
        <v>4.8790100000000003E-2</v>
      </c>
      <c r="AW98">
        <v>25.773849999999999</v>
      </c>
      <c r="AX98">
        <v>1.76</v>
      </c>
      <c r="AY98">
        <v>1.05685246942989</v>
      </c>
      <c r="AZ98" s="1">
        <v>3.5500001162290601E-2</v>
      </c>
      <c r="BA98" s="1">
        <v>0.149000003933907</v>
      </c>
      <c r="BB98" s="1">
        <v>0.18450000882148701</v>
      </c>
      <c r="BC98" s="1">
        <v>5.8252424999999999</v>
      </c>
      <c r="BD98" s="2">
        <v>69.889360053345996</v>
      </c>
      <c r="BE98" s="2">
        <f t="shared" si="2"/>
        <v>4.1959404624289931</v>
      </c>
      <c r="BF98" s="2">
        <f t="shared" si="3"/>
        <v>6.3871548909430471</v>
      </c>
      <c r="BG98">
        <v>26562700</v>
      </c>
      <c r="BH98" s="3">
        <v>4513234</v>
      </c>
      <c r="BI98">
        <v>20.468677109912775</v>
      </c>
      <c r="BJ98">
        <v>7148610</v>
      </c>
      <c r="BK98">
        <v>1356560</v>
      </c>
      <c r="BL98">
        <v>23.421068533593459</v>
      </c>
      <c r="BM98" s="3">
        <v>4652.6571999999996</v>
      </c>
      <c r="BN98">
        <v>2335.2803999999996</v>
      </c>
      <c r="BO98">
        <v>100.77258044526897</v>
      </c>
      <c r="BP98">
        <v>28982642147.7211</v>
      </c>
      <c r="BQ98">
        <v>3394253475.6781006</v>
      </c>
      <c r="BR98">
        <v>13.264819130196136</v>
      </c>
      <c r="BS98">
        <v>0.74797919999999996</v>
      </c>
      <c r="BT98">
        <v>1.94157</v>
      </c>
      <c r="BU98">
        <v>5.5730528847143699</v>
      </c>
    </row>
    <row r="99" spans="1:73" x14ac:dyDescent="0.2">
      <c r="A99">
        <v>98</v>
      </c>
      <c r="B99" t="s">
        <v>68</v>
      </c>
      <c r="C99">
        <v>2005</v>
      </c>
      <c r="D99">
        <v>4</v>
      </c>
      <c r="E99">
        <v>0</v>
      </c>
      <c r="F99" t="s">
        <v>69</v>
      </c>
      <c r="G99">
        <v>0.81899999999999995</v>
      </c>
      <c r="H99">
        <v>0</v>
      </c>
      <c r="I99">
        <v>2.1110000000000002</v>
      </c>
      <c r="J99">
        <v>2.5169999999999999</v>
      </c>
      <c r="K99">
        <v>3.2749999999999999</v>
      </c>
      <c r="L99">
        <v>3.5259999999999998</v>
      </c>
      <c r="M99">
        <v>1.165</v>
      </c>
      <c r="N99">
        <v>1.4390000000000001</v>
      </c>
      <c r="O99">
        <v>-1.9730000000000001</v>
      </c>
      <c r="P99">
        <v>3.9060000000000001</v>
      </c>
      <c r="Q99">
        <v>1</v>
      </c>
      <c r="R99">
        <v>17137.5</v>
      </c>
      <c r="S99">
        <v>4.6470000000000002</v>
      </c>
      <c r="T99">
        <v>3.05</v>
      </c>
      <c r="U99">
        <v>9.34</v>
      </c>
      <c r="W99" t="s">
        <v>54</v>
      </c>
      <c r="X99" t="s">
        <v>55</v>
      </c>
      <c r="Y99" t="s">
        <v>59</v>
      </c>
      <c r="Z99">
        <v>0.82099999999999995</v>
      </c>
      <c r="AA99">
        <v>0.875</v>
      </c>
      <c r="AB99">
        <v>120</v>
      </c>
      <c r="AC99">
        <v>2</v>
      </c>
      <c r="AE99">
        <v>-70.647499999999994</v>
      </c>
      <c r="AF99">
        <v>-33.475000000000001</v>
      </c>
      <c r="AG99" t="s">
        <v>70</v>
      </c>
      <c r="AH99" t="s">
        <v>58</v>
      </c>
      <c r="AI99">
        <v>10210.06</v>
      </c>
      <c r="AJ99">
        <v>5.837046</v>
      </c>
      <c r="AK99">
        <v>165000000000</v>
      </c>
      <c r="AL99">
        <v>77.634569999999997</v>
      </c>
      <c r="AN99">
        <v>1.491743</v>
      </c>
      <c r="AO99">
        <v>49.474040000000002</v>
      </c>
      <c r="AP99">
        <v>72.062529999999995</v>
      </c>
      <c r="AQ99">
        <v>6.1008129999999996</v>
      </c>
      <c r="AR99">
        <v>10.95363</v>
      </c>
      <c r="AS99">
        <v>0.83720830000000002</v>
      </c>
      <c r="AT99">
        <v>1.1151420000000001</v>
      </c>
      <c r="AU99">
        <v>3.8927290000000001</v>
      </c>
      <c r="AV99">
        <v>1.1151420000000001</v>
      </c>
      <c r="AW99">
        <v>25.830580000000001</v>
      </c>
      <c r="AX99">
        <v>2</v>
      </c>
      <c r="AY99">
        <v>1.05685246942989</v>
      </c>
      <c r="AZ99" s="1">
        <v>3.8499999791383702E-2</v>
      </c>
      <c r="BA99" s="1">
        <v>7.0000000298023196E-2</v>
      </c>
      <c r="BB99" s="1">
        <v>0.108500003814697</v>
      </c>
      <c r="BC99" s="1">
        <v>5.8252424999999999</v>
      </c>
      <c r="BD99" s="2">
        <v>72.062534238157994</v>
      </c>
      <c r="BE99" s="2">
        <f t="shared" si="2"/>
        <v>2.1731741848119981</v>
      </c>
      <c r="BF99" s="2">
        <f t="shared" si="3"/>
        <v>3.1094492540112419</v>
      </c>
      <c r="BG99">
        <v>33200311</v>
      </c>
      <c r="BH99" s="3">
        <v>6637611</v>
      </c>
      <c r="BI99">
        <v>24.988465028028024</v>
      </c>
      <c r="BJ99">
        <v>7913710</v>
      </c>
      <c r="BK99">
        <v>765100</v>
      </c>
      <c r="BL99">
        <v>10.7027799810033</v>
      </c>
      <c r="BM99" s="3">
        <v>5327.0599000000002</v>
      </c>
      <c r="BN99">
        <v>674.40270000000055</v>
      </c>
      <c r="BO99">
        <v>14.495000835221656</v>
      </c>
      <c r="BP99">
        <v>35672558951.430901</v>
      </c>
      <c r="BQ99">
        <v>6689916803.7098007</v>
      </c>
      <c r="BR99">
        <v>23.082494582833704</v>
      </c>
      <c r="BS99">
        <v>0.47657870000000002</v>
      </c>
      <c r="BT99">
        <v>0.83305499999999999</v>
      </c>
      <c r="BU99">
        <v>4.7399977837677101</v>
      </c>
    </row>
    <row r="100" spans="1:73" x14ac:dyDescent="0.2">
      <c r="A100">
        <v>99</v>
      </c>
      <c r="B100" t="s">
        <v>68</v>
      </c>
      <c r="C100">
        <v>2006</v>
      </c>
      <c r="D100">
        <v>4</v>
      </c>
      <c r="E100">
        <v>1</v>
      </c>
      <c r="F100" t="s">
        <v>69</v>
      </c>
      <c r="G100">
        <v>0.81899999999999995</v>
      </c>
      <c r="H100">
        <v>0</v>
      </c>
      <c r="I100">
        <v>2.2490000000000001</v>
      </c>
      <c r="J100">
        <v>2.75</v>
      </c>
      <c r="K100">
        <v>3.3319999999999999</v>
      </c>
      <c r="L100">
        <v>3.6850000000000001</v>
      </c>
      <c r="M100">
        <v>1.2470000000000001</v>
      </c>
      <c r="N100">
        <v>1.512</v>
      </c>
      <c r="O100">
        <v>-1.9730000000000001</v>
      </c>
      <c r="P100">
        <v>3.718</v>
      </c>
      <c r="Q100">
        <v>0</v>
      </c>
      <c r="R100">
        <v>17920.8</v>
      </c>
      <c r="S100">
        <v>5.2</v>
      </c>
      <c r="T100">
        <v>3.39</v>
      </c>
      <c r="U100">
        <v>9.02</v>
      </c>
      <c r="V100">
        <v>47.3</v>
      </c>
      <c r="W100" t="s">
        <v>54</v>
      </c>
      <c r="X100" t="s">
        <v>55</v>
      </c>
      <c r="Y100" t="s">
        <v>59</v>
      </c>
      <c r="Z100">
        <v>0.83599999999999997</v>
      </c>
      <c r="AA100">
        <v>0.88900000000000001</v>
      </c>
      <c r="AB100">
        <v>120</v>
      </c>
      <c r="AC100">
        <v>2</v>
      </c>
      <c r="AE100">
        <v>-70.647499999999994</v>
      </c>
      <c r="AF100">
        <v>-33.475000000000001</v>
      </c>
      <c r="AG100" t="s">
        <v>70</v>
      </c>
      <c r="AH100" t="s">
        <v>58</v>
      </c>
      <c r="AI100">
        <v>10714.03</v>
      </c>
      <c r="AJ100">
        <v>6.0499910000000003</v>
      </c>
      <c r="AK100">
        <v>175000000000</v>
      </c>
      <c r="AL100">
        <v>78.113330000000005</v>
      </c>
      <c r="AN100">
        <v>4.5529270000000004</v>
      </c>
      <c r="AO100">
        <v>48.6325</v>
      </c>
      <c r="AP100">
        <v>73.71163</v>
      </c>
      <c r="AQ100">
        <v>4.9312199999999997</v>
      </c>
      <c r="AR100">
        <v>10.29712</v>
      </c>
      <c r="AS100">
        <v>0.212945</v>
      </c>
      <c r="AT100">
        <v>1.2208300000000001</v>
      </c>
      <c r="AU100">
        <v>3.8927290000000001</v>
      </c>
      <c r="AV100">
        <v>1.2208300000000001</v>
      </c>
      <c r="AW100">
        <v>25.889330000000001</v>
      </c>
      <c r="AX100">
        <v>0.34000019999999997</v>
      </c>
      <c r="AY100">
        <v>1.05685246942989</v>
      </c>
      <c r="AZ100" s="1">
        <v>3.8499999791383702E-2</v>
      </c>
      <c r="BA100" s="1">
        <v>7.0000000298023196E-2</v>
      </c>
      <c r="BB100" s="1">
        <v>0.108500003814697</v>
      </c>
      <c r="BC100" s="1">
        <v>5.2439910000000003</v>
      </c>
      <c r="BD100" s="2">
        <v>73.711635044811004</v>
      </c>
      <c r="BE100" s="2">
        <f t="shared" si="2"/>
        <v>1.64910080665301</v>
      </c>
      <c r="BF100" s="2">
        <f t="shared" si="3"/>
        <v>2.2884302142399413</v>
      </c>
      <c r="BG100">
        <v>39262609</v>
      </c>
      <c r="BH100" s="3">
        <v>6062298</v>
      </c>
      <c r="BI100">
        <v>18.25976268716278</v>
      </c>
      <c r="BJ100">
        <v>9220997</v>
      </c>
      <c r="BK100">
        <v>1307287</v>
      </c>
      <c r="BL100">
        <v>16.519268459420424</v>
      </c>
      <c r="BM100" s="3">
        <v>5374.2730000000001</v>
      </c>
      <c r="BN100">
        <v>47.21309999999994</v>
      </c>
      <c r="BO100">
        <v>0.88628813804027129</v>
      </c>
      <c r="BP100">
        <v>37974335722.795998</v>
      </c>
      <c r="BQ100">
        <v>2301776771.365097</v>
      </c>
      <c r="BR100">
        <v>6.4525137501322094</v>
      </c>
      <c r="BS100">
        <v>0.65651510000000002</v>
      </c>
      <c r="BT100">
        <v>0.19600339999999999</v>
      </c>
      <c r="BU100">
        <v>4.9360011392553798</v>
      </c>
    </row>
    <row r="101" spans="1:73" x14ac:dyDescent="0.2">
      <c r="A101">
        <v>100</v>
      </c>
      <c r="B101" t="s">
        <v>68</v>
      </c>
      <c r="C101">
        <v>2007</v>
      </c>
      <c r="D101">
        <v>4</v>
      </c>
      <c r="E101">
        <v>0</v>
      </c>
      <c r="F101" t="s">
        <v>69</v>
      </c>
      <c r="G101">
        <v>0.81899999999999995</v>
      </c>
      <c r="H101">
        <v>0</v>
      </c>
      <c r="I101">
        <v>2.2490000000000001</v>
      </c>
      <c r="J101">
        <v>2.75</v>
      </c>
      <c r="K101">
        <v>3.3319999999999999</v>
      </c>
      <c r="L101">
        <v>3.6850000000000001</v>
      </c>
      <c r="M101">
        <v>1.2470000000000001</v>
      </c>
      <c r="N101">
        <v>1.512</v>
      </c>
      <c r="O101">
        <v>-1.778</v>
      </c>
      <c r="P101">
        <v>3.6459999999999999</v>
      </c>
      <c r="Q101">
        <v>0</v>
      </c>
      <c r="R101">
        <v>18487.900000000001</v>
      </c>
      <c r="S101">
        <v>3.79</v>
      </c>
      <c r="T101">
        <v>4.41</v>
      </c>
      <c r="U101">
        <v>8.43</v>
      </c>
      <c r="W101" t="s">
        <v>54</v>
      </c>
      <c r="X101" t="s">
        <v>55</v>
      </c>
      <c r="Y101" t="s">
        <v>59</v>
      </c>
      <c r="Z101">
        <v>0.83799999999999997</v>
      </c>
      <c r="AA101">
        <v>0.88900000000000001</v>
      </c>
      <c r="AB101">
        <v>120</v>
      </c>
      <c r="AC101">
        <v>2</v>
      </c>
      <c r="AE101">
        <v>-70.647499999999994</v>
      </c>
      <c r="AF101">
        <v>-33.475000000000001</v>
      </c>
      <c r="AG101" t="s">
        <v>70</v>
      </c>
      <c r="AH101" t="s">
        <v>58</v>
      </c>
      <c r="AI101">
        <v>11147.99</v>
      </c>
      <c r="AJ101">
        <v>5.1682309999999996</v>
      </c>
      <c r="AK101">
        <v>184000000000</v>
      </c>
      <c r="AL101">
        <v>84.075249999999997</v>
      </c>
      <c r="AN101">
        <v>4.3015480000000004</v>
      </c>
      <c r="AO101">
        <v>47.810569999999998</v>
      </c>
      <c r="AP101">
        <v>76.977029999999999</v>
      </c>
      <c r="AQ101">
        <v>7.8084749999999996</v>
      </c>
      <c r="AR101">
        <v>10.545959999999999</v>
      </c>
      <c r="AS101">
        <v>0.88175959999999998</v>
      </c>
      <c r="AT101">
        <v>1.4838750000000001</v>
      </c>
      <c r="AU101">
        <v>3.1612840000000002</v>
      </c>
      <c r="AV101">
        <v>1.4838750000000001</v>
      </c>
      <c r="AW101">
        <v>25.939720000000001</v>
      </c>
      <c r="AX101">
        <v>1.02</v>
      </c>
      <c r="AY101">
        <v>1.2116881054470401</v>
      </c>
      <c r="AZ101" s="1">
        <v>3.8499999791383702E-2</v>
      </c>
      <c r="BA101" s="1">
        <v>7.0000000298023196E-2</v>
      </c>
      <c r="BB101" s="1">
        <v>0.108500003814697</v>
      </c>
      <c r="BC101" s="1">
        <v>5.2439910000000003</v>
      </c>
      <c r="BD101" s="2">
        <v>76.977024714145998</v>
      </c>
      <c r="BE101" s="2">
        <f t="shared" si="2"/>
        <v>3.2653896693349935</v>
      </c>
      <c r="BF101" s="2">
        <f t="shared" si="3"/>
        <v>4.4299514823540243</v>
      </c>
      <c r="BG101">
        <v>47962822</v>
      </c>
      <c r="BH101" s="3">
        <v>8700213</v>
      </c>
      <c r="BI101">
        <v>22.159029217849483</v>
      </c>
      <c r="BJ101">
        <v>10797160</v>
      </c>
      <c r="BK101">
        <v>1576163</v>
      </c>
      <c r="BL101">
        <v>17.093195020017902</v>
      </c>
      <c r="BM101" s="3">
        <v>8623.2041000000008</v>
      </c>
      <c r="BN101">
        <v>3248.9311000000007</v>
      </c>
      <c r="BO101">
        <v>60.453406442136462</v>
      </c>
      <c r="BP101">
        <v>41988902268.604202</v>
      </c>
      <c r="BQ101">
        <v>4014566545.8082047</v>
      </c>
      <c r="BR101">
        <v>10.571788734143043</v>
      </c>
      <c r="BS101">
        <v>0.24884029999999999</v>
      </c>
      <c r="BT101">
        <v>0.88556860000000004</v>
      </c>
      <c r="BU101">
        <v>4.0504328910730703</v>
      </c>
    </row>
    <row r="102" spans="1:73" x14ac:dyDescent="0.2">
      <c r="A102">
        <v>101</v>
      </c>
      <c r="B102" t="s">
        <v>68</v>
      </c>
      <c r="C102">
        <v>2008</v>
      </c>
      <c r="D102">
        <v>4</v>
      </c>
      <c r="E102">
        <v>0</v>
      </c>
      <c r="F102" t="s">
        <v>69</v>
      </c>
      <c r="G102">
        <v>0.81899999999999995</v>
      </c>
      <c r="H102">
        <v>0</v>
      </c>
      <c r="I102">
        <v>2.2490000000000001</v>
      </c>
      <c r="J102">
        <v>2.75</v>
      </c>
      <c r="K102">
        <v>3.3319999999999999</v>
      </c>
      <c r="L102">
        <v>3.6850000000000001</v>
      </c>
      <c r="M102">
        <v>1.2470000000000001</v>
      </c>
      <c r="N102">
        <v>1.512</v>
      </c>
      <c r="O102">
        <v>-1.778</v>
      </c>
      <c r="P102">
        <v>3.5550000000000002</v>
      </c>
      <c r="Q102">
        <v>0</v>
      </c>
      <c r="R102">
        <v>18804</v>
      </c>
      <c r="S102">
        <v>2.4260000000000002</v>
      </c>
      <c r="T102">
        <v>8.7200000000000006</v>
      </c>
      <c r="U102">
        <v>9.2899999999999991</v>
      </c>
      <c r="W102" t="s">
        <v>54</v>
      </c>
      <c r="X102" t="s">
        <v>55</v>
      </c>
      <c r="Y102" t="s">
        <v>59</v>
      </c>
      <c r="Z102">
        <v>0.83899999999999997</v>
      </c>
      <c r="AA102">
        <v>0.88900000000000001</v>
      </c>
      <c r="AB102">
        <v>120</v>
      </c>
      <c r="AC102">
        <v>2</v>
      </c>
      <c r="AE102">
        <v>-70.647499999999994</v>
      </c>
      <c r="AF102">
        <v>-33.475000000000001</v>
      </c>
      <c r="AG102" t="s">
        <v>70</v>
      </c>
      <c r="AH102" t="s">
        <v>58</v>
      </c>
      <c r="AI102">
        <v>11447.13</v>
      </c>
      <c r="AJ102">
        <v>3.789393</v>
      </c>
      <c r="AK102">
        <v>191000000000</v>
      </c>
      <c r="AL102">
        <v>100.20659999999999</v>
      </c>
      <c r="AN102">
        <v>-3.7283740000000001</v>
      </c>
      <c r="AO102">
        <v>47.045009999999998</v>
      </c>
      <c r="AP102">
        <v>80.676630000000003</v>
      </c>
      <c r="AQ102">
        <v>10.28206</v>
      </c>
      <c r="AR102">
        <v>11.26493</v>
      </c>
      <c r="AS102">
        <v>1.378838</v>
      </c>
      <c r="AT102">
        <v>2.165619</v>
      </c>
      <c r="AU102">
        <v>3.1612840000000002</v>
      </c>
      <c r="AV102">
        <v>2.165619</v>
      </c>
      <c r="AW102">
        <v>25.97691</v>
      </c>
      <c r="AX102">
        <v>4.3099999999999996</v>
      </c>
      <c r="AY102">
        <v>1.2116881054470401</v>
      </c>
      <c r="AZ102" s="1">
        <v>3.8499999791383702E-2</v>
      </c>
      <c r="BA102" s="1">
        <v>7.0000000298023196E-2</v>
      </c>
      <c r="BB102" s="1">
        <v>0.108500003814697</v>
      </c>
      <c r="BC102" s="1">
        <v>5.9950039999999998</v>
      </c>
      <c r="BD102" s="2">
        <v>80.676626240627996</v>
      </c>
      <c r="BE102" s="2">
        <f t="shared" si="2"/>
        <v>3.6996015264819988</v>
      </c>
      <c r="BF102" s="2">
        <f t="shared" si="3"/>
        <v>4.8061113562396836</v>
      </c>
      <c r="BG102">
        <v>54825503</v>
      </c>
      <c r="BH102" s="3">
        <v>6862681</v>
      </c>
      <c r="BI102">
        <v>14.308334484572239</v>
      </c>
      <c r="BJ102">
        <v>11093190</v>
      </c>
      <c r="BK102">
        <v>296030</v>
      </c>
      <c r="BL102">
        <v>2.741739494459654</v>
      </c>
      <c r="BM102" s="3">
        <v>9321.7559999999994</v>
      </c>
      <c r="BN102">
        <v>698.55189999999857</v>
      </c>
      <c r="BO102">
        <v>8.1008392228591521</v>
      </c>
      <c r="BP102">
        <v>49830411709.886398</v>
      </c>
      <c r="BQ102">
        <v>7841509441.282196</v>
      </c>
      <c r="BR102">
        <v>18.675195153042672</v>
      </c>
      <c r="BS102">
        <v>0.71897319999999998</v>
      </c>
      <c r="BT102">
        <v>1.3670869999999999</v>
      </c>
      <c r="BU102">
        <v>2.68334573281044</v>
      </c>
    </row>
    <row r="103" spans="1:73" x14ac:dyDescent="0.2">
      <c r="A103">
        <v>102</v>
      </c>
      <c r="B103" t="s">
        <v>68</v>
      </c>
      <c r="C103">
        <v>2009</v>
      </c>
      <c r="D103">
        <v>4</v>
      </c>
      <c r="E103">
        <v>0</v>
      </c>
      <c r="F103" t="s">
        <v>69</v>
      </c>
      <c r="G103">
        <v>0.81899999999999995</v>
      </c>
      <c r="H103">
        <v>0</v>
      </c>
      <c r="I103">
        <v>2.2490000000000001</v>
      </c>
      <c r="J103">
        <v>2.75</v>
      </c>
      <c r="K103">
        <v>3.3319999999999999</v>
      </c>
      <c r="L103">
        <v>3.6850000000000001</v>
      </c>
      <c r="M103">
        <v>1.2470000000000001</v>
      </c>
      <c r="N103">
        <v>1.512</v>
      </c>
      <c r="O103">
        <v>-1.778</v>
      </c>
      <c r="P103">
        <v>3.6110000000000002</v>
      </c>
      <c r="Q103">
        <v>1</v>
      </c>
      <c r="R103">
        <v>18184.5</v>
      </c>
      <c r="S103">
        <v>-2.601</v>
      </c>
      <c r="T103">
        <v>0.35</v>
      </c>
      <c r="U103">
        <v>11.31</v>
      </c>
      <c r="V103">
        <v>47</v>
      </c>
      <c r="W103" t="s">
        <v>54</v>
      </c>
      <c r="X103" t="s">
        <v>55</v>
      </c>
      <c r="Y103" t="s">
        <v>59</v>
      </c>
      <c r="Z103">
        <v>0.83599999999999997</v>
      </c>
      <c r="AA103">
        <v>0.88600000000000001</v>
      </c>
      <c r="AB103">
        <v>120</v>
      </c>
      <c r="AC103">
        <v>2</v>
      </c>
      <c r="AE103">
        <v>-70.647499999999994</v>
      </c>
      <c r="AF103">
        <v>-33.475000000000001</v>
      </c>
      <c r="AG103" t="s">
        <v>70</v>
      </c>
      <c r="AH103" t="s">
        <v>58</v>
      </c>
      <c r="AI103">
        <v>11199.88</v>
      </c>
      <c r="AJ103">
        <v>-1.1180369999999999</v>
      </c>
      <c r="AK103">
        <v>189000000000</v>
      </c>
      <c r="AL103">
        <v>102.8111</v>
      </c>
      <c r="AN103">
        <v>1.8785179999999999</v>
      </c>
      <c r="AO103">
        <v>46.386670000000002</v>
      </c>
      <c r="AP103">
        <v>66.686030000000002</v>
      </c>
      <c r="AQ103">
        <v>8.0829079999999998</v>
      </c>
      <c r="AR103">
        <v>12.86853</v>
      </c>
      <c r="AS103">
        <v>4.9074299999999997</v>
      </c>
      <c r="AT103">
        <v>-1.049822</v>
      </c>
      <c r="AU103">
        <v>3.1612840000000002</v>
      </c>
      <c r="AV103">
        <v>-1.049822</v>
      </c>
      <c r="AW103">
        <v>25.96566</v>
      </c>
      <c r="AX103">
        <v>8.3699999999999992</v>
      </c>
      <c r="AY103">
        <v>1.2116881054470401</v>
      </c>
      <c r="AZ103" s="1">
        <v>2.7499999850988398E-2</v>
      </c>
      <c r="BA103" s="1">
        <v>0.119999997317791</v>
      </c>
      <c r="BB103" s="1">
        <v>0.14749999344348899</v>
      </c>
      <c r="BC103" s="1">
        <v>5.9950039999999998</v>
      </c>
      <c r="BD103" s="2">
        <v>66.686030963118</v>
      </c>
      <c r="BE103" s="2">
        <f t="shared" si="2"/>
        <v>13.990595277509996</v>
      </c>
      <c r="BF103" s="2">
        <f t="shared" si="3"/>
        <v>17.341572062992967</v>
      </c>
      <c r="BG103">
        <v>54608394</v>
      </c>
      <c r="BH103" s="3">
        <v>217109</v>
      </c>
      <c r="BI103">
        <v>0.39600001481062563</v>
      </c>
      <c r="BJ103">
        <v>14204600</v>
      </c>
      <c r="BK103">
        <v>3111410</v>
      </c>
      <c r="BL103">
        <v>28.047928503883913</v>
      </c>
      <c r="BM103" s="3">
        <v>6622.2470999999996</v>
      </c>
      <c r="BN103">
        <v>2699.5088999999998</v>
      </c>
      <c r="BO103">
        <v>28.959231501017616</v>
      </c>
      <c r="BP103">
        <v>44320367272.378502</v>
      </c>
      <c r="BQ103">
        <v>5510044437.5078964</v>
      </c>
      <c r="BR103">
        <v>11.057593642989506</v>
      </c>
      <c r="BS103">
        <v>1.603599</v>
      </c>
      <c r="BT103">
        <v>4.8432979999999999</v>
      </c>
      <c r="BU103">
        <v>-2.1599522571676002</v>
      </c>
    </row>
    <row r="104" spans="1:73" x14ac:dyDescent="0.2">
      <c r="A104">
        <v>103</v>
      </c>
      <c r="B104" t="s">
        <v>68</v>
      </c>
      <c r="C104">
        <v>2010</v>
      </c>
      <c r="D104">
        <v>4</v>
      </c>
      <c r="E104">
        <v>1</v>
      </c>
      <c r="F104" t="s">
        <v>69</v>
      </c>
      <c r="G104">
        <v>0.81899999999999995</v>
      </c>
      <c r="H104">
        <v>0</v>
      </c>
      <c r="I104">
        <v>2.4609999999999999</v>
      </c>
      <c r="J104">
        <v>2.7450000000000001</v>
      </c>
      <c r="K104">
        <v>3.4860000000000002</v>
      </c>
      <c r="L104">
        <v>3.6819999999999999</v>
      </c>
      <c r="M104">
        <v>1.3109999999999999</v>
      </c>
      <c r="N104">
        <v>1.498</v>
      </c>
      <c r="O104">
        <v>-1.4930000000000001</v>
      </c>
      <c r="P104">
        <v>3.665</v>
      </c>
      <c r="Q104">
        <v>0</v>
      </c>
      <c r="R104">
        <v>18909.900000000001</v>
      </c>
      <c r="S104">
        <v>4.75</v>
      </c>
      <c r="T104">
        <v>1.41</v>
      </c>
      <c r="U104">
        <v>8.42</v>
      </c>
      <c r="W104" t="s">
        <v>54</v>
      </c>
      <c r="X104" t="s">
        <v>55</v>
      </c>
      <c r="Y104" t="s">
        <v>59</v>
      </c>
      <c r="Z104">
        <v>0.83899999999999997</v>
      </c>
      <c r="AA104">
        <v>0.88600000000000001</v>
      </c>
      <c r="AB104">
        <v>120</v>
      </c>
      <c r="AC104">
        <v>2</v>
      </c>
      <c r="AE104">
        <v>-70.647499999999994</v>
      </c>
      <c r="AF104">
        <v>-33.475000000000001</v>
      </c>
      <c r="AG104" t="s">
        <v>70</v>
      </c>
      <c r="AH104" t="s">
        <v>58</v>
      </c>
      <c r="AI104">
        <v>11732.73</v>
      </c>
      <c r="AJ104">
        <v>5.8516510000000004</v>
      </c>
      <c r="AK104">
        <v>200000000000</v>
      </c>
      <c r="AL104">
        <v>99.634379999999993</v>
      </c>
      <c r="AN104">
        <v>1.413502</v>
      </c>
      <c r="AO104">
        <v>45.865760000000002</v>
      </c>
      <c r="AP104">
        <v>69.717680000000001</v>
      </c>
      <c r="AQ104">
        <v>7.3787580000000004</v>
      </c>
      <c r="AR104">
        <v>12.54618</v>
      </c>
      <c r="AS104">
        <v>6.9696879999999997</v>
      </c>
      <c r="AT104">
        <v>0.3435897</v>
      </c>
      <c r="AU104">
        <v>2.2290489999999998</v>
      </c>
      <c r="AV104">
        <v>0.3435897</v>
      </c>
      <c r="AW104">
        <v>26.02253</v>
      </c>
      <c r="AX104">
        <v>1.06</v>
      </c>
      <c r="AY104">
        <v>1.4379863427028701</v>
      </c>
      <c r="AZ104" s="1">
        <v>2.7499999850988398E-2</v>
      </c>
      <c r="BA104" s="1">
        <v>0.119999997317791</v>
      </c>
      <c r="BB104" s="1">
        <v>0.14749999344348899</v>
      </c>
      <c r="BC104" s="1">
        <v>5.6648307000000004</v>
      </c>
      <c r="BD104" s="2">
        <v>69.717680137035998</v>
      </c>
      <c r="BE104" s="2">
        <f t="shared" si="2"/>
        <v>3.031649173917998</v>
      </c>
      <c r="BF104" s="2">
        <f t="shared" si="3"/>
        <v>4.5461532649839516</v>
      </c>
      <c r="BG104">
        <v>59977670</v>
      </c>
      <c r="BH104" s="3">
        <v>5369276</v>
      </c>
      <c r="BI104">
        <v>9.8323272425847215</v>
      </c>
      <c r="BJ104">
        <v>16888290</v>
      </c>
      <c r="BK104">
        <v>2683690</v>
      </c>
      <c r="BL104">
        <v>18.893105050476606</v>
      </c>
      <c r="BM104" s="3">
        <v>6558.9727000000003</v>
      </c>
      <c r="BN104">
        <v>63.274399999999332</v>
      </c>
      <c r="BO104">
        <v>0.95548231656893834</v>
      </c>
      <c r="BP104">
        <v>49242901057.754303</v>
      </c>
      <c r="BQ104">
        <v>4922533785.3758011</v>
      </c>
      <c r="BR104">
        <v>11.106708017836395</v>
      </c>
      <c r="BS104">
        <v>0.32235049999999998</v>
      </c>
      <c r="BT104">
        <v>6.9175909999999998</v>
      </c>
      <c r="BU104">
        <v>4.7576385862883503</v>
      </c>
    </row>
    <row r="105" spans="1:73" x14ac:dyDescent="0.2">
      <c r="A105">
        <v>104</v>
      </c>
      <c r="B105" t="s">
        <v>68</v>
      </c>
      <c r="C105">
        <v>2011</v>
      </c>
      <c r="D105">
        <v>4</v>
      </c>
      <c r="E105">
        <v>0</v>
      </c>
      <c r="F105" t="s">
        <v>69</v>
      </c>
      <c r="G105">
        <v>0.81899999999999995</v>
      </c>
      <c r="H105">
        <v>0</v>
      </c>
      <c r="I105">
        <v>2.4609999999999999</v>
      </c>
      <c r="J105">
        <v>2.7450000000000001</v>
      </c>
      <c r="K105">
        <v>3.4860000000000002</v>
      </c>
      <c r="L105">
        <v>3.6819999999999999</v>
      </c>
      <c r="M105">
        <v>1.3109999999999999</v>
      </c>
      <c r="N105">
        <v>1.498</v>
      </c>
      <c r="O105">
        <v>-1.4930000000000001</v>
      </c>
      <c r="P105">
        <v>3.589</v>
      </c>
      <c r="Q105">
        <v>0</v>
      </c>
      <c r="R105">
        <v>19705</v>
      </c>
      <c r="S105">
        <v>5.0579999999999998</v>
      </c>
      <c r="T105">
        <v>3.34</v>
      </c>
      <c r="U105">
        <v>7.34</v>
      </c>
      <c r="V105">
        <v>46</v>
      </c>
      <c r="W105" t="s">
        <v>54</v>
      </c>
      <c r="X105" t="s">
        <v>55</v>
      </c>
      <c r="Y105" t="s">
        <v>59</v>
      </c>
      <c r="Z105">
        <v>0.84199999999999997</v>
      </c>
      <c r="AA105">
        <v>0.88800000000000001</v>
      </c>
      <c r="AB105">
        <v>120</v>
      </c>
      <c r="AC105">
        <v>2</v>
      </c>
      <c r="AE105">
        <v>-70.647499999999994</v>
      </c>
      <c r="AF105">
        <v>-33.475000000000001</v>
      </c>
      <c r="AG105" t="s">
        <v>70</v>
      </c>
      <c r="AH105" t="s">
        <v>58</v>
      </c>
      <c r="AI105">
        <v>12339.26</v>
      </c>
      <c r="AJ105">
        <v>6.223897</v>
      </c>
      <c r="AK105">
        <v>213000000000</v>
      </c>
      <c r="AL105">
        <v>101.70780000000001</v>
      </c>
      <c r="AN105">
        <v>-2.720065</v>
      </c>
      <c r="AO105">
        <v>45.551259999999999</v>
      </c>
      <c r="AP105">
        <v>72.481639999999999</v>
      </c>
      <c r="AQ105">
        <v>10.176119999999999</v>
      </c>
      <c r="AR105">
        <v>12.31119</v>
      </c>
      <c r="AS105">
        <v>0.37224580000000002</v>
      </c>
      <c r="AT105">
        <v>1.2059709999999999</v>
      </c>
      <c r="AU105">
        <v>2.2290489999999998</v>
      </c>
      <c r="AV105">
        <v>1.2059709999999999</v>
      </c>
      <c r="AW105">
        <v>26.082909999999998</v>
      </c>
      <c r="AX105">
        <v>1.93</v>
      </c>
      <c r="AY105">
        <v>1.4379863427028701</v>
      </c>
      <c r="AZ105" s="1">
        <v>2.7499999850988398E-2</v>
      </c>
      <c r="BA105" s="1">
        <v>0.119999997317791</v>
      </c>
      <c r="BB105" s="1">
        <v>0.14749999344348899</v>
      </c>
      <c r="BC105" s="1">
        <v>5.6648307000000004</v>
      </c>
      <c r="BD105" s="2">
        <v>72.481642807745004</v>
      </c>
      <c r="BE105" s="2">
        <f t="shared" si="2"/>
        <v>2.7639626707090059</v>
      </c>
      <c r="BF105" s="2">
        <f t="shared" si="3"/>
        <v>3.9645075184317715</v>
      </c>
      <c r="BG105">
        <v>73660174</v>
      </c>
      <c r="BH105" s="3">
        <v>13682504</v>
      </c>
      <c r="BI105">
        <v>22.81266344624591</v>
      </c>
      <c r="BJ105">
        <v>18838809</v>
      </c>
      <c r="BK105">
        <v>1950519</v>
      </c>
      <c r="BL105">
        <v>11.549535210492003</v>
      </c>
      <c r="BM105" s="3">
        <v>5312.9966000000004</v>
      </c>
      <c r="BN105">
        <v>1245.9760999999999</v>
      </c>
      <c r="BO105">
        <v>18.996512975271262</v>
      </c>
      <c r="BP105">
        <v>56661809494.243401</v>
      </c>
      <c r="BQ105">
        <v>7418908436.4890976</v>
      </c>
      <c r="BR105">
        <v>15.065945094883558</v>
      </c>
      <c r="BS105">
        <v>0.23498630000000001</v>
      </c>
      <c r="BT105">
        <v>0.41192630000000002</v>
      </c>
      <c r="BU105">
        <v>5.1695649515749302</v>
      </c>
    </row>
    <row r="106" spans="1:73" x14ac:dyDescent="0.2">
      <c r="A106">
        <v>105</v>
      </c>
      <c r="B106" t="s">
        <v>68</v>
      </c>
      <c r="C106">
        <v>2012</v>
      </c>
      <c r="D106">
        <v>4</v>
      </c>
      <c r="E106">
        <v>0</v>
      </c>
      <c r="F106" t="s">
        <v>69</v>
      </c>
      <c r="G106">
        <v>0.81899999999999995</v>
      </c>
      <c r="H106">
        <v>0</v>
      </c>
      <c r="I106">
        <v>2.4609999999999999</v>
      </c>
      <c r="J106">
        <v>2.7450000000000001</v>
      </c>
      <c r="K106">
        <v>3.4860000000000002</v>
      </c>
      <c r="L106">
        <v>3.6819999999999999</v>
      </c>
      <c r="M106">
        <v>1.3109999999999999</v>
      </c>
      <c r="N106">
        <v>1.498</v>
      </c>
      <c r="O106">
        <v>-1.4930000000000001</v>
      </c>
      <c r="P106">
        <v>3.589</v>
      </c>
      <c r="Q106">
        <v>0</v>
      </c>
      <c r="R106">
        <v>20531</v>
      </c>
      <c r="S106">
        <v>4.3090000000000002</v>
      </c>
      <c r="T106">
        <v>3.01</v>
      </c>
      <c r="U106">
        <v>6.66</v>
      </c>
      <c r="W106" t="s">
        <v>54</v>
      </c>
      <c r="X106" t="s">
        <v>55</v>
      </c>
      <c r="Y106" t="s">
        <v>59</v>
      </c>
      <c r="Z106">
        <v>0.84399999999999997</v>
      </c>
      <c r="AA106">
        <v>0.89100000000000001</v>
      </c>
      <c r="AB106">
        <v>120</v>
      </c>
      <c r="AC106">
        <v>2</v>
      </c>
      <c r="AE106">
        <v>-70.647499999999994</v>
      </c>
      <c r="AF106">
        <v>-33.475000000000001</v>
      </c>
      <c r="AG106" t="s">
        <v>70</v>
      </c>
      <c r="AH106" t="s">
        <v>58</v>
      </c>
      <c r="AI106">
        <v>12973.24</v>
      </c>
      <c r="AJ106">
        <v>6.1553399999999998</v>
      </c>
      <c r="AK106">
        <v>226000000000</v>
      </c>
      <c r="AL106">
        <v>104.264</v>
      </c>
      <c r="AN106">
        <v>-4.4308509999999997</v>
      </c>
      <c r="AO106">
        <v>45.308750000000003</v>
      </c>
      <c r="AP106">
        <v>68.156139999999994</v>
      </c>
      <c r="AQ106">
        <v>11.74067</v>
      </c>
      <c r="AR106">
        <v>12.32593</v>
      </c>
      <c r="AS106">
        <v>6.8556800000000001E-2</v>
      </c>
      <c r="AT106">
        <v>1.1019399999999999</v>
      </c>
      <c r="AU106">
        <v>2.2290489999999998</v>
      </c>
      <c r="AV106">
        <v>1.1019399999999999</v>
      </c>
      <c r="AW106">
        <v>26.14264</v>
      </c>
      <c r="AX106">
        <v>0.32999990000000001</v>
      </c>
      <c r="AY106">
        <v>1.4379863427028701</v>
      </c>
      <c r="AZ106" s="1">
        <v>2.7499999850988398E-2</v>
      </c>
      <c r="BA106" s="1">
        <v>0.119999997317791</v>
      </c>
      <c r="BB106" s="1">
        <v>0.14749999344348899</v>
      </c>
      <c r="BC106" s="1">
        <v>5.6648307000000004</v>
      </c>
      <c r="BD106" s="2">
        <v>68.156142891334994</v>
      </c>
      <c r="BE106" s="2">
        <f t="shared" si="2"/>
        <v>4.3254999164100099</v>
      </c>
      <c r="BF106" s="2">
        <f t="shared" si="3"/>
        <v>5.9677178232331816</v>
      </c>
      <c r="BG106">
        <v>81944785</v>
      </c>
      <c r="BH106" s="3">
        <v>8284611</v>
      </c>
      <c r="BI106">
        <v>11.247069549414858</v>
      </c>
      <c r="BJ106">
        <v>20560455</v>
      </c>
      <c r="BK106">
        <v>1721646</v>
      </c>
      <c r="BL106">
        <v>9.1388261327985223</v>
      </c>
      <c r="BM106" s="3">
        <v>10812.1152</v>
      </c>
      <c r="BN106">
        <v>5499.1185999999998</v>
      </c>
      <c r="BO106">
        <v>103.50314547538012</v>
      </c>
      <c r="BP106">
        <v>63466893033.040298</v>
      </c>
      <c r="BQ106">
        <v>6805083538.7968979</v>
      </c>
      <c r="BR106">
        <v>12.010000385688823</v>
      </c>
      <c r="BS106">
        <v>1.4740899999999999E-2</v>
      </c>
      <c r="BT106">
        <v>3.1678199999999997E-2</v>
      </c>
      <c r="BU106">
        <v>5.1378864802920496</v>
      </c>
    </row>
    <row r="107" spans="1:73" x14ac:dyDescent="0.2">
      <c r="A107">
        <v>106</v>
      </c>
      <c r="B107" t="s">
        <v>68</v>
      </c>
      <c r="C107">
        <v>2013</v>
      </c>
      <c r="D107">
        <v>4</v>
      </c>
      <c r="E107">
        <v>0</v>
      </c>
      <c r="F107" t="s">
        <v>69</v>
      </c>
      <c r="G107">
        <v>0.81899999999999995</v>
      </c>
      <c r="H107">
        <v>0</v>
      </c>
      <c r="I107">
        <v>2.4609999999999999</v>
      </c>
      <c r="J107">
        <v>2.7450000000000001</v>
      </c>
      <c r="K107">
        <v>3.4860000000000002</v>
      </c>
      <c r="L107">
        <v>3.6819999999999999</v>
      </c>
      <c r="M107">
        <v>1.3109999999999999</v>
      </c>
      <c r="N107">
        <v>1.498</v>
      </c>
      <c r="O107">
        <v>-1.4930000000000001</v>
      </c>
      <c r="P107">
        <v>3.222</v>
      </c>
      <c r="Q107">
        <v>1</v>
      </c>
      <c r="R107">
        <v>21135</v>
      </c>
      <c r="S107">
        <v>3.032</v>
      </c>
      <c r="T107">
        <v>1.79</v>
      </c>
      <c r="U107">
        <v>6.21</v>
      </c>
      <c r="V107">
        <v>45.8</v>
      </c>
      <c r="W107" t="s">
        <v>54</v>
      </c>
      <c r="X107" t="s">
        <v>55</v>
      </c>
      <c r="Y107" t="s">
        <v>59</v>
      </c>
      <c r="Z107">
        <v>0.84699999999999998</v>
      </c>
      <c r="AA107">
        <v>0.89100000000000001</v>
      </c>
      <c r="AB107">
        <v>120</v>
      </c>
      <c r="AC107">
        <v>2</v>
      </c>
      <c r="AE107">
        <v>-70.647499999999994</v>
      </c>
      <c r="AF107">
        <v>-33.475000000000001</v>
      </c>
      <c r="AG107" t="s">
        <v>70</v>
      </c>
      <c r="AH107" t="s">
        <v>58</v>
      </c>
      <c r="AI107">
        <v>13271.92</v>
      </c>
      <c r="AJ107">
        <v>3.3085079999999998</v>
      </c>
      <c r="AK107">
        <v>233000000000</v>
      </c>
      <c r="AL107">
        <v>106.1494</v>
      </c>
      <c r="AN107">
        <v>-4.7833709999999998</v>
      </c>
      <c r="AO107">
        <v>45.17212</v>
      </c>
      <c r="AP107">
        <v>65.143289999999993</v>
      </c>
      <c r="AQ107">
        <v>8.0112839999999998</v>
      </c>
      <c r="AR107">
        <v>12.78558</v>
      </c>
      <c r="AS107">
        <v>2.846832</v>
      </c>
      <c r="AT107">
        <v>0.58221560000000006</v>
      </c>
      <c r="AU107">
        <v>2.2290489999999998</v>
      </c>
      <c r="AV107">
        <v>0.58221560000000006</v>
      </c>
      <c r="AW107">
        <v>26.1752</v>
      </c>
      <c r="AX107">
        <v>1.22</v>
      </c>
      <c r="AY107">
        <v>1.4379863427028701</v>
      </c>
      <c r="AZ107" s="1">
        <v>8.1000000238418607E-2</v>
      </c>
      <c r="BA107" s="1">
        <v>0.108500003814697</v>
      </c>
      <c r="BB107" s="1">
        <v>0.18950000405311601</v>
      </c>
      <c r="BC107" s="1">
        <v>5.6648307000000004</v>
      </c>
      <c r="BD107" s="2">
        <v>65.143287952432999</v>
      </c>
      <c r="BE107" s="2">
        <f t="shared" si="2"/>
        <v>3.0128549389019952</v>
      </c>
      <c r="BF107" s="2">
        <f t="shared" si="3"/>
        <v>4.4205185491578538</v>
      </c>
      <c r="BG107">
        <v>90665767</v>
      </c>
      <c r="BH107" s="3">
        <v>8720982</v>
      </c>
      <c r="BI107">
        <v>10.642510075534398</v>
      </c>
      <c r="BJ107">
        <v>22784371</v>
      </c>
      <c r="BK107">
        <v>2223916</v>
      </c>
      <c r="BL107">
        <v>10.816472689928311</v>
      </c>
      <c r="BM107" s="3">
        <v>11797.761200000001</v>
      </c>
      <c r="BN107">
        <v>985.64600000000064</v>
      </c>
      <c r="BO107">
        <v>9.1161255847514528</v>
      </c>
      <c r="BP107">
        <v>64305670747.1661</v>
      </c>
      <c r="BQ107">
        <v>838777714.12580109</v>
      </c>
      <c r="BR107">
        <v>1.3215988274219457</v>
      </c>
      <c r="BS107">
        <v>0.45965289999999998</v>
      </c>
      <c r="BT107">
        <v>2.8356349999999999</v>
      </c>
      <c r="BU107">
        <v>2.3022511412942901</v>
      </c>
    </row>
    <row r="108" spans="1:73" x14ac:dyDescent="0.2">
      <c r="A108">
        <v>107</v>
      </c>
      <c r="B108" t="s">
        <v>68</v>
      </c>
      <c r="C108">
        <v>2014</v>
      </c>
      <c r="D108">
        <v>4</v>
      </c>
      <c r="E108">
        <v>1</v>
      </c>
      <c r="F108" t="s">
        <v>69</v>
      </c>
      <c r="G108">
        <v>0.81899999999999995</v>
      </c>
      <c r="H108">
        <v>0</v>
      </c>
      <c r="I108">
        <v>3.0459999999999998</v>
      </c>
      <c r="J108">
        <v>4.45</v>
      </c>
      <c r="K108">
        <v>3.879</v>
      </c>
      <c r="L108">
        <v>4.6879999999999997</v>
      </c>
      <c r="M108">
        <v>1.377</v>
      </c>
      <c r="N108">
        <v>1.77</v>
      </c>
      <c r="O108">
        <v>-1.329</v>
      </c>
      <c r="P108">
        <v>3.222</v>
      </c>
      <c r="Q108">
        <v>0</v>
      </c>
      <c r="R108">
        <v>21335</v>
      </c>
      <c r="S108">
        <v>0.69299999999999995</v>
      </c>
      <c r="T108">
        <v>4.72</v>
      </c>
      <c r="U108">
        <v>6.66</v>
      </c>
      <c r="W108" t="s">
        <v>54</v>
      </c>
      <c r="X108" t="s">
        <v>55</v>
      </c>
      <c r="Y108" t="s">
        <v>59</v>
      </c>
      <c r="Z108">
        <v>0.84599999999999997</v>
      </c>
      <c r="AA108">
        <v>0.88700000000000001</v>
      </c>
      <c r="AB108">
        <v>120</v>
      </c>
      <c r="AC108">
        <v>2</v>
      </c>
      <c r="AE108">
        <v>-70.647499999999994</v>
      </c>
      <c r="AF108">
        <v>-33.475000000000001</v>
      </c>
      <c r="AG108" t="s">
        <v>70</v>
      </c>
      <c r="AH108" t="s">
        <v>58</v>
      </c>
      <c r="AI108">
        <v>13367.23</v>
      </c>
      <c r="AJ108">
        <v>1.7926500000000001</v>
      </c>
      <c r="AK108">
        <v>237000000000</v>
      </c>
      <c r="AL108">
        <v>109.0531</v>
      </c>
      <c r="AN108">
        <v>-2.0143779999999998</v>
      </c>
      <c r="AO108">
        <v>45.160179999999997</v>
      </c>
      <c r="AP108">
        <v>65.634630000000001</v>
      </c>
      <c r="AQ108">
        <v>9.0815610000000007</v>
      </c>
      <c r="AR108">
        <v>13.226330000000001</v>
      </c>
      <c r="AS108">
        <v>1.5158590000000001</v>
      </c>
      <c r="AT108">
        <v>1.551809</v>
      </c>
      <c r="AU108">
        <v>1.7662409999999999</v>
      </c>
      <c r="AV108">
        <v>1.551809</v>
      </c>
      <c r="AW108">
        <v>26.192959999999999</v>
      </c>
      <c r="AX108">
        <v>2.93</v>
      </c>
      <c r="AY108">
        <v>1.5682070827378101</v>
      </c>
      <c r="AZ108" s="1">
        <v>8.1000000238418607E-2</v>
      </c>
      <c r="BA108" s="1">
        <v>0.108500003814697</v>
      </c>
      <c r="BB108" s="1">
        <v>0.18950000405311601</v>
      </c>
      <c r="BC108" s="1">
        <v>6.4573993999999999</v>
      </c>
      <c r="BD108" s="2">
        <v>65.634628121885996</v>
      </c>
      <c r="BE108" s="2">
        <f t="shared" si="2"/>
        <v>0.49134016945299663</v>
      </c>
      <c r="BF108" s="2">
        <f t="shared" si="3"/>
        <v>0.75424527207126613</v>
      </c>
      <c r="BG108">
        <v>98817136</v>
      </c>
      <c r="BH108" s="3">
        <v>8151369</v>
      </c>
      <c r="BI108">
        <v>8.9905697262782773</v>
      </c>
      <c r="BJ108">
        <v>25823588</v>
      </c>
      <c r="BK108">
        <v>3039217</v>
      </c>
      <c r="BL108">
        <v>13.339042802629926</v>
      </c>
      <c r="BM108" s="3">
        <v>15447.958199999999</v>
      </c>
      <c r="BN108">
        <v>3650.1969999999983</v>
      </c>
      <c r="BO108">
        <v>30.939743042095124</v>
      </c>
      <c r="BP108">
        <v>61698801112.209099</v>
      </c>
      <c r="BQ108">
        <v>2606869634.9570007</v>
      </c>
      <c r="BR108">
        <v>4.0538720841690052</v>
      </c>
      <c r="BS108">
        <v>0.44074150000000001</v>
      </c>
      <c r="BT108">
        <v>1.5840920000000001</v>
      </c>
      <c r="BU108">
        <v>0.71815880222094097</v>
      </c>
    </row>
    <row r="109" spans="1:73" x14ac:dyDescent="0.2">
      <c r="A109">
        <v>108</v>
      </c>
      <c r="B109" t="s">
        <v>68</v>
      </c>
      <c r="C109">
        <v>2015</v>
      </c>
      <c r="D109">
        <v>4</v>
      </c>
      <c r="E109">
        <v>0</v>
      </c>
      <c r="F109" t="s">
        <v>69</v>
      </c>
      <c r="G109">
        <v>0.81899999999999995</v>
      </c>
      <c r="H109">
        <v>0</v>
      </c>
      <c r="I109">
        <v>3.0459999999999998</v>
      </c>
      <c r="J109">
        <v>4.45</v>
      </c>
      <c r="K109">
        <v>3.879</v>
      </c>
      <c r="L109">
        <v>4.6879999999999997</v>
      </c>
      <c r="M109">
        <v>1.377</v>
      </c>
      <c r="N109">
        <v>1.77</v>
      </c>
      <c r="O109">
        <v>-1.0609999999999999</v>
      </c>
      <c r="P109">
        <v>3.5129999999999999</v>
      </c>
      <c r="Q109">
        <v>0</v>
      </c>
      <c r="R109">
        <v>21589</v>
      </c>
      <c r="S109">
        <v>1.1060000000000001</v>
      </c>
      <c r="T109">
        <v>4.3499999999999996</v>
      </c>
      <c r="U109">
        <v>6.51</v>
      </c>
      <c r="V109">
        <v>44.4</v>
      </c>
      <c r="W109" t="s">
        <v>54</v>
      </c>
      <c r="X109" t="s">
        <v>55</v>
      </c>
      <c r="Y109" t="s">
        <v>59</v>
      </c>
      <c r="Z109">
        <v>0.83399999999999996</v>
      </c>
      <c r="AA109">
        <v>0.88</v>
      </c>
      <c r="AB109">
        <v>120</v>
      </c>
      <c r="AC109">
        <v>2</v>
      </c>
      <c r="AE109">
        <v>-70.647499999999994</v>
      </c>
      <c r="AF109">
        <v>-33.475000000000001</v>
      </c>
      <c r="AG109" t="s">
        <v>70</v>
      </c>
      <c r="AH109" t="s">
        <v>58</v>
      </c>
      <c r="AI109">
        <v>13495.01</v>
      </c>
      <c r="AJ109">
        <v>2.151942</v>
      </c>
      <c r="AK109">
        <v>243000000000</v>
      </c>
      <c r="AL109">
        <v>109.8921</v>
      </c>
      <c r="AN109">
        <v>-2.3650880000000001</v>
      </c>
      <c r="AO109">
        <v>45.271630000000002</v>
      </c>
      <c r="AP109">
        <v>59.349110000000003</v>
      </c>
      <c r="AQ109">
        <v>8.6100729999999999</v>
      </c>
      <c r="AR109">
        <v>13.59212</v>
      </c>
      <c r="AS109">
        <v>0.35929299999999997</v>
      </c>
      <c r="AT109">
        <v>1.4701759999999999</v>
      </c>
      <c r="AU109">
        <v>1.125721</v>
      </c>
      <c r="AV109">
        <v>1.4701759999999999</v>
      </c>
      <c r="AW109">
        <v>26.21425</v>
      </c>
      <c r="AX109">
        <v>0.36999989999999999</v>
      </c>
      <c r="AY109">
        <v>1.7810068286485601</v>
      </c>
      <c r="AZ109" s="1">
        <v>8.1000000238418607E-2</v>
      </c>
      <c r="BA109" s="1">
        <v>0.108500003814697</v>
      </c>
      <c r="BB109" s="1">
        <v>0.18950000405311601</v>
      </c>
      <c r="BC109" s="1">
        <v>6.4573993999999999</v>
      </c>
      <c r="BD109" s="2">
        <v>59.349110477594998</v>
      </c>
      <c r="BE109" s="2">
        <f t="shared" si="2"/>
        <v>6.2855176442909979</v>
      </c>
      <c r="BF109" s="2">
        <f t="shared" si="3"/>
        <v>9.5765266356328755</v>
      </c>
      <c r="BG109">
        <v>110989436</v>
      </c>
      <c r="BH109" s="3">
        <v>12172300</v>
      </c>
      <c r="BI109">
        <v>12.318005249615815</v>
      </c>
      <c r="BJ109">
        <v>29419405</v>
      </c>
      <c r="BK109">
        <v>3595817</v>
      </c>
      <c r="BL109">
        <v>13.924544490099517</v>
      </c>
      <c r="BM109" s="3">
        <v>1915.1521</v>
      </c>
      <c r="BN109">
        <v>13532.8061</v>
      </c>
      <c r="BO109">
        <v>87.602555138969748</v>
      </c>
      <c r="BP109">
        <v>61764796484.3368</v>
      </c>
      <c r="BQ109">
        <v>65995372.127700806</v>
      </c>
      <c r="BR109">
        <v>0.10696378363605107</v>
      </c>
      <c r="BS109">
        <v>0.36579129999999999</v>
      </c>
      <c r="BT109">
        <v>0.23777870000000001</v>
      </c>
      <c r="BU109">
        <v>0.95593743837794398</v>
      </c>
    </row>
    <row r="110" spans="1:73" x14ac:dyDescent="0.2">
      <c r="A110">
        <v>109</v>
      </c>
      <c r="B110" t="s">
        <v>68</v>
      </c>
      <c r="C110">
        <v>2016</v>
      </c>
      <c r="D110">
        <v>4</v>
      </c>
      <c r="E110">
        <v>0</v>
      </c>
      <c r="F110" t="s">
        <v>69</v>
      </c>
      <c r="G110">
        <v>0.81899999999999995</v>
      </c>
      <c r="H110">
        <v>0</v>
      </c>
      <c r="I110">
        <v>3.0459999999999998</v>
      </c>
      <c r="J110">
        <v>4.45</v>
      </c>
      <c r="K110">
        <v>3.879</v>
      </c>
      <c r="L110">
        <v>4.6879999999999997</v>
      </c>
      <c r="M110">
        <v>1.377</v>
      </c>
      <c r="N110">
        <v>1.77</v>
      </c>
      <c r="O110">
        <v>-1.0609999999999999</v>
      </c>
      <c r="P110">
        <v>4.13</v>
      </c>
      <c r="Q110">
        <v>0</v>
      </c>
      <c r="R110">
        <v>21696</v>
      </c>
      <c r="S110">
        <v>0.372</v>
      </c>
      <c r="T110">
        <v>3.79</v>
      </c>
      <c r="U110">
        <v>6.74</v>
      </c>
      <c r="W110" t="s">
        <v>54</v>
      </c>
      <c r="X110" t="s">
        <v>55</v>
      </c>
      <c r="Y110" t="s">
        <v>59</v>
      </c>
      <c r="Z110">
        <v>0.83599999999999997</v>
      </c>
      <c r="AA110">
        <v>0.88200000000000001</v>
      </c>
      <c r="AB110">
        <v>120</v>
      </c>
      <c r="AC110">
        <v>2</v>
      </c>
      <c r="AE110">
        <v>-70.647499999999994</v>
      </c>
      <c r="AF110">
        <v>-33.475000000000001</v>
      </c>
      <c r="AG110" t="s">
        <v>70</v>
      </c>
      <c r="AH110" t="s">
        <v>58</v>
      </c>
      <c r="AI110">
        <v>13550.81</v>
      </c>
      <c r="AJ110">
        <v>1.753039</v>
      </c>
      <c r="AK110">
        <v>247000000000</v>
      </c>
      <c r="AL110">
        <v>111.11190000000001</v>
      </c>
      <c r="AN110">
        <v>-1.9952380000000001</v>
      </c>
      <c r="AO110">
        <v>45.301850000000002</v>
      </c>
      <c r="AP110">
        <v>56.057859999999998</v>
      </c>
      <c r="AQ110">
        <v>4.945322</v>
      </c>
      <c r="AR110">
        <v>14.34267</v>
      </c>
      <c r="AS110">
        <v>0.39890370000000003</v>
      </c>
      <c r="AT110">
        <v>1.3323659999999999</v>
      </c>
      <c r="AU110">
        <v>1.125721</v>
      </c>
      <c r="AV110">
        <v>1.3323659999999999</v>
      </c>
      <c r="AW110">
        <v>26.231629999999999</v>
      </c>
      <c r="AX110">
        <v>0.55999989999999999</v>
      </c>
      <c r="AY110">
        <v>1.7810068286485601</v>
      </c>
      <c r="AZ110" s="1">
        <v>8.1000000238418607E-2</v>
      </c>
      <c r="BA110" s="1">
        <v>0.108500003814697</v>
      </c>
      <c r="BB110" s="1">
        <v>0.18950000405311601</v>
      </c>
      <c r="BC110" s="1">
        <v>6.4573993999999999</v>
      </c>
      <c r="BD110" s="2">
        <v>56.057861087761999</v>
      </c>
      <c r="BE110" s="2">
        <f t="shared" si="2"/>
        <v>3.2912493898329984</v>
      </c>
      <c r="BF110" s="2">
        <f t="shared" si="3"/>
        <v>5.5455749266460943</v>
      </c>
      <c r="BG110">
        <v>118570036</v>
      </c>
      <c r="BH110" s="3">
        <v>7580600</v>
      </c>
      <c r="BI110">
        <v>6.8300193903138675</v>
      </c>
      <c r="BJ110">
        <v>30318551</v>
      </c>
      <c r="BK110">
        <v>899146</v>
      </c>
      <c r="BL110">
        <v>3.0563024643088466</v>
      </c>
      <c r="BM110" s="3">
        <v>3486.9794999999999</v>
      </c>
      <c r="BN110">
        <v>1571.8273999999999</v>
      </c>
      <c r="BO110">
        <v>82.073241075734913</v>
      </c>
      <c r="BP110">
        <v>60307157477.907204</v>
      </c>
      <c r="BQ110">
        <v>1457639006.4295959</v>
      </c>
      <c r="BR110">
        <v>2.359983500956317</v>
      </c>
      <c r="BS110">
        <v>0.7505503</v>
      </c>
      <c r="BT110">
        <v>0.54244150000000002</v>
      </c>
      <c r="BU110">
        <v>0.41349594108004301</v>
      </c>
    </row>
    <row r="111" spans="1:73" x14ac:dyDescent="0.2">
      <c r="A111">
        <v>110</v>
      </c>
      <c r="B111" t="s">
        <v>68</v>
      </c>
      <c r="C111">
        <v>2017</v>
      </c>
      <c r="D111">
        <v>4</v>
      </c>
      <c r="E111">
        <v>0</v>
      </c>
      <c r="F111" t="s">
        <v>69</v>
      </c>
      <c r="G111">
        <v>0.81899999999999995</v>
      </c>
      <c r="H111">
        <v>0</v>
      </c>
      <c r="O111">
        <v>-1.0609999999999999</v>
      </c>
      <c r="P111">
        <v>3.5870000000000002</v>
      </c>
      <c r="Q111">
        <v>1</v>
      </c>
      <c r="R111">
        <v>21650.400000000001</v>
      </c>
      <c r="S111">
        <v>-0.24299999999999999</v>
      </c>
      <c r="T111">
        <v>2.1800000000000002</v>
      </c>
      <c r="U111">
        <v>6.96</v>
      </c>
      <c r="V111">
        <v>44.4</v>
      </c>
      <c r="W111" t="s">
        <v>54</v>
      </c>
      <c r="X111" t="s">
        <v>55</v>
      </c>
      <c r="Y111" t="s">
        <v>59</v>
      </c>
      <c r="Z111">
        <v>0.84199999999999997</v>
      </c>
      <c r="AA111">
        <v>0.88700000000000001</v>
      </c>
      <c r="AB111">
        <v>155</v>
      </c>
      <c r="AC111">
        <v>2</v>
      </c>
      <c r="AE111">
        <v>-70.647499999999994</v>
      </c>
      <c r="AF111">
        <v>-33.475000000000001</v>
      </c>
      <c r="AG111" t="s">
        <v>70</v>
      </c>
      <c r="AH111" t="s">
        <v>58</v>
      </c>
      <c r="AI111">
        <v>13540.44</v>
      </c>
      <c r="AJ111">
        <v>1.3576950000000001</v>
      </c>
      <c r="AK111">
        <v>250000000000</v>
      </c>
      <c r="AL111">
        <v>113.4422</v>
      </c>
      <c r="AN111">
        <v>-2.3318989999999999</v>
      </c>
      <c r="AO111">
        <v>45.382840000000002</v>
      </c>
      <c r="AP111">
        <v>56.026159999999997</v>
      </c>
      <c r="AQ111">
        <v>2.2172930000000002</v>
      </c>
      <c r="AR111">
        <v>14.648709999999999</v>
      </c>
      <c r="AS111">
        <v>0.39534340000000001</v>
      </c>
      <c r="AT111">
        <v>0.77932489999999999</v>
      </c>
      <c r="AU111">
        <v>1.125721</v>
      </c>
      <c r="AV111">
        <v>0.77932489999999999</v>
      </c>
      <c r="AW111">
        <v>26.24512</v>
      </c>
      <c r="AX111">
        <v>1.61</v>
      </c>
      <c r="AY111">
        <v>1.7810068286485601</v>
      </c>
      <c r="AZ111" s="1" t="s">
        <v>101</v>
      </c>
      <c r="BA111" s="1" t="s">
        <v>101</v>
      </c>
      <c r="BB111" s="1" t="s">
        <v>101</v>
      </c>
      <c r="BC111" s="1" t="s">
        <v>101</v>
      </c>
      <c r="BD111" s="2">
        <v>56.026158967604999</v>
      </c>
      <c r="BE111" s="2">
        <f t="shared" si="2"/>
        <v>3.1702120157000024E-2</v>
      </c>
      <c r="BF111" s="2">
        <f t="shared" si="3"/>
        <v>5.6552496905596203E-2</v>
      </c>
      <c r="BG111">
        <v>123903043</v>
      </c>
      <c r="BH111" s="3">
        <v>5333007</v>
      </c>
      <c r="BI111">
        <v>4.497769571394918</v>
      </c>
      <c r="BJ111">
        <v>33566117</v>
      </c>
      <c r="BK111">
        <v>3247566</v>
      </c>
      <c r="BL111">
        <v>10.71148156123952</v>
      </c>
      <c r="BM111" s="3">
        <v>2702.2476000000001</v>
      </c>
      <c r="BN111">
        <v>784.73189999999977</v>
      </c>
      <c r="BO111">
        <v>22.50463187409045</v>
      </c>
      <c r="BP111">
        <v>58301771855.309402</v>
      </c>
      <c r="BQ111">
        <v>2005385622.5978012</v>
      </c>
      <c r="BR111">
        <v>3.3252862619705628</v>
      </c>
      <c r="BS111">
        <v>0.30604550000000003</v>
      </c>
      <c r="BT111">
        <v>0.4900468</v>
      </c>
      <c r="BU111">
        <v>-7.6550833261109105E-2</v>
      </c>
    </row>
    <row r="112" spans="1:73" x14ac:dyDescent="0.2">
      <c r="A112">
        <v>111</v>
      </c>
      <c r="B112" t="s">
        <v>68</v>
      </c>
      <c r="C112">
        <v>2018</v>
      </c>
      <c r="D112">
        <v>4</v>
      </c>
      <c r="E112">
        <v>0</v>
      </c>
      <c r="F112" t="s">
        <v>69</v>
      </c>
      <c r="G112">
        <v>0.81899999999999995</v>
      </c>
      <c r="H112">
        <v>0</v>
      </c>
      <c r="O112">
        <v>-0.56999999999999995</v>
      </c>
      <c r="P112">
        <v>3.847</v>
      </c>
      <c r="Q112">
        <v>0</v>
      </c>
      <c r="R112">
        <v>22104.799999999999</v>
      </c>
      <c r="S112">
        <v>2.5129999999999999</v>
      </c>
      <c r="T112">
        <v>2.4300000000000002</v>
      </c>
      <c r="U112">
        <v>7.23</v>
      </c>
      <c r="W112" t="s">
        <v>54</v>
      </c>
      <c r="X112" t="s">
        <v>55</v>
      </c>
      <c r="Y112" t="s">
        <v>59</v>
      </c>
      <c r="Z112">
        <v>0.80300000000000005</v>
      </c>
      <c r="AA112">
        <v>0.86299999999999999</v>
      </c>
      <c r="AB112">
        <v>155</v>
      </c>
      <c r="AC112">
        <v>2</v>
      </c>
      <c r="AE112">
        <v>-70.647499999999994</v>
      </c>
      <c r="AF112">
        <v>-33.475000000000001</v>
      </c>
      <c r="AG112" t="s">
        <v>70</v>
      </c>
      <c r="AH112" t="s">
        <v>58</v>
      </c>
      <c r="AI112">
        <v>13886.19</v>
      </c>
      <c r="AJ112">
        <v>3.99003</v>
      </c>
      <c r="AK112">
        <v>260000000000</v>
      </c>
      <c r="AL112">
        <v>117.76609999999999</v>
      </c>
      <c r="AN112">
        <v>-3.9405290000000002</v>
      </c>
      <c r="AO112">
        <v>45.525889999999997</v>
      </c>
      <c r="AP112">
        <v>58.177050000000001</v>
      </c>
      <c r="AQ112">
        <v>2.6268039999999999</v>
      </c>
      <c r="AR112">
        <v>14.85647</v>
      </c>
      <c r="AS112">
        <v>2.6323340000000002</v>
      </c>
      <c r="AT112">
        <v>0.88789130000000005</v>
      </c>
      <c r="AU112">
        <v>0.32490000000000002</v>
      </c>
      <c r="AV112">
        <v>0.88789130000000005</v>
      </c>
      <c r="AW112">
        <v>26.28424</v>
      </c>
      <c r="AX112">
        <v>0.25</v>
      </c>
      <c r="AY112">
        <v>2.1708750198507198</v>
      </c>
      <c r="AZ112" s="1" t="s">
        <v>101</v>
      </c>
      <c r="BA112" s="1" t="s">
        <v>101</v>
      </c>
      <c r="BB112" s="1" t="s">
        <v>101</v>
      </c>
      <c r="BC112" s="1" t="s">
        <v>101</v>
      </c>
      <c r="BD112" s="2">
        <v>58.177050633436998</v>
      </c>
      <c r="BE112" s="2">
        <f t="shared" si="2"/>
        <v>2.150891665831999</v>
      </c>
      <c r="BF112" s="2">
        <f t="shared" si="3"/>
        <v>3.8390846445062752</v>
      </c>
      <c r="BG112">
        <v>137804057</v>
      </c>
      <c r="BH112" s="3">
        <v>13901014</v>
      </c>
      <c r="BI112">
        <v>11.219267633321968</v>
      </c>
      <c r="BJ112">
        <v>36855583</v>
      </c>
      <c r="BK112">
        <v>3289466</v>
      </c>
      <c r="BL112">
        <v>9.7999598821633143</v>
      </c>
      <c r="BM112" s="3">
        <v>6096.0326999999997</v>
      </c>
      <c r="BN112">
        <v>3393.7850999999996</v>
      </c>
      <c r="BO112">
        <v>125.59119675043839</v>
      </c>
      <c r="BP112">
        <v>62087267840.7724</v>
      </c>
      <c r="BQ112">
        <v>3785495985.4629974</v>
      </c>
      <c r="BR112">
        <v>6.4929347170745748</v>
      </c>
      <c r="BS112">
        <v>0.2077608</v>
      </c>
      <c r="BT112">
        <v>2.6300270000000001</v>
      </c>
      <c r="BU112">
        <v>2.55347622625683</v>
      </c>
    </row>
    <row r="113" spans="1:73" x14ac:dyDescent="0.2">
      <c r="A113">
        <v>112</v>
      </c>
      <c r="B113" t="s">
        <v>68</v>
      </c>
      <c r="C113">
        <v>2019</v>
      </c>
      <c r="D113">
        <v>4</v>
      </c>
      <c r="E113">
        <v>0</v>
      </c>
      <c r="F113" t="s">
        <v>69</v>
      </c>
      <c r="G113">
        <v>0.81899999999999995</v>
      </c>
      <c r="H113">
        <v>0</v>
      </c>
      <c r="O113">
        <v>0.66200000000000003</v>
      </c>
      <c r="Q113">
        <v>0</v>
      </c>
      <c r="S113">
        <v>-0.13400000000000001</v>
      </c>
      <c r="T113">
        <v>2.56</v>
      </c>
      <c r="U113">
        <v>7.29</v>
      </c>
      <c r="W113" t="s">
        <v>54</v>
      </c>
      <c r="X113" t="s">
        <v>55</v>
      </c>
      <c r="Y113" t="s">
        <v>59</v>
      </c>
      <c r="Z113">
        <v>0.79300000000000004</v>
      </c>
      <c r="AA113">
        <v>0.81299999999999994</v>
      </c>
      <c r="AB113">
        <v>155</v>
      </c>
      <c r="AC113">
        <v>2</v>
      </c>
      <c r="AE113">
        <v>-70.647499999999994</v>
      </c>
      <c r="AF113">
        <v>-33.475000000000001</v>
      </c>
      <c r="AG113" t="s">
        <v>70</v>
      </c>
      <c r="AH113" t="s">
        <v>58</v>
      </c>
      <c r="AI113">
        <v>13828.63</v>
      </c>
      <c r="AJ113">
        <v>0.77053959999999999</v>
      </c>
      <c r="AK113">
        <v>262000000000</v>
      </c>
      <c r="AL113">
        <v>124.1789</v>
      </c>
      <c r="AN113">
        <v>-3.7523719999999998</v>
      </c>
      <c r="AO113">
        <v>45.721209999999999</v>
      </c>
      <c r="AP113">
        <v>57.527970000000003</v>
      </c>
      <c r="AQ113">
        <v>4.5180540000000002</v>
      </c>
      <c r="AR113">
        <v>15.22508</v>
      </c>
      <c r="AS113">
        <v>3.21949</v>
      </c>
      <c r="AT113">
        <v>0.94000720000000004</v>
      </c>
      <c r="AU113">
        <v>0.43824400000000002</v>
      </c>
      <c r="AV113">
        <v>0.94000720000000004</v>
      </c>
      <c r="AW113">
        <v>26.291920000000001</v>
      </c>
      <c r="AX113">
        <v>0.1299999</v>
      </c>
      <c r="AY113">
        <v>3.1491186279180599</v>
      </c>
      <c r="AZ113" s="1" t="s">
        <v>101</v>
      </c>
      <c r="BA113" s="1" t="s">
        <v>101</v>
      </c>
      <c r="BB113" s="1" t="s">
        <v>101</v>
      </c>
      <c r="BC113" s="1" t="s">
        <v>101</v>
      </c>
      <c r="BD113" s="2">
        <v>57.527973849589003</v>
      </c>
      <c r="BE113" s="2">
        <f t="shared" si="2"/>
        <v>0.64907678384799539</v>
      </c>
      <c r="BF113" s="2">
        <f t="shared" si="3"/>
        <v>1.1156921445497641</v>
      </c>
      <c r="BG113">
        <v>151273454</v>
      </c>
      <c r="BH113" s="3">
        <v>13469397</v>
      </c>
      <c r="BI113">
        <v>9.7743109261289742</v>
      </c>
      <c r="BJ113">
        <v>43633380</v>
      </c>
      <c r="BK113">
        <v>6777797</v>
      </c>
      <c r="BL113">
        <v>18.390150007937738</v>
      </c>
      <c r="BM113" s="3">
        <v>3234.0145000000002</v>
      </c>
      <c r="BN113">
        <v>2862.0181999999995</v>
      </c>
      <c r="BO113">
        <v>46.948865612220217</v>
      </c>
      <c r="BP113">
        <v>64977672548.296898</v>
      </c>
      <c r="BQ113">
        <v>2890404707.524498</v>
      </c>
      <c r="BR113">
        <v>4.6553904013575931</v>
      </c>
      <c r="BS113">
        <v>0.36860559999999998</v>
      </c>
      <c r="BT113">
        <v>2.9679609999999998</v>
      </c>
      <c r="BU113">
        <v>-0.41448510535060701</v>
      </c>
    </row>
    <row r="114" spans="1:73" x14ac:dyDescent="0.2">
      <c r="A114">
        <v>113</v>
      </c>
      <c r="B114" t="s">
        <v>71</v>
      </c>
      <c r="C114">
        <v>1992</v>
      </c>
      <c r="D114">
        <v>5</v>
      </c>
      <c r="E114">
        <v>0</v>
      </c>
      <c r="F114" t="s">
        <v>72</v>
      </c>
      <c r="G114">
        <v>0.69325000000000003</v>
      </c>
      <c r="H114">
        <v>0</v>
      </c>
      <c r="O114">
        <v>-0.72099999999999997</v>
      </c>
      <c r="Q114">
        <v>0</v>
      </c>
      <c r="R114">
        <v>7888.1</v>
      </c>
      <c r="S114">
        <v>2.0369999999999999</v>
      </c>
      <c r="T114">
        <v>27.03</v>
      </c>
      <c r="U114">
        <v>9.44</v>
      </c>
      <c r="V114">
        <v>51.5</v>
      </c>
      <c r="W114" t="s">
        <v>54</v>
      </c>
      <c r="X114" t="s">
        <v>55</v>
      </c>
      <c r="Y114" t="s">
        <v>59</v>
      </c>
      <c r="Z114">
        <v>0.433</v>
      </c>
      <c r="AA114">
        <v>0.56599999999999995</v>
      </c>
      <c r="AB114">
        <v>161</v>
      </c>
      <c r="AC114">
        <v>5</v>
      </c>
      <c r="AE114">
        <v>-74.081999999999994</v>
      </c>
      <c r="AF114">
        <v>4.6098699999999999</v>
      </c>
      <c r="AG114" t="s">
        <v>57</v>
      </c>
      <c r="AH114" t="s">
        <v>58</v>
      </c>
      <c r="AI114">
        <v>3714.6190000000001</v>
      </c>
      <c r="AJ114">
        <v>4.0449299999999999</v>
      </c>
      <c r="AK114">
        <v>128000000000</v>
      </c>
      <c r="AL114">
        <v>25.242159999999998</v>
      </c>
      <c r="AN114">
        <v>1.541793</v>
      </c>
      <c r="AO114">
        <v>66.130740000000003</v>
      </c>
      <c r="AP114">
        <v>33.61159</v>
      </c>
      <c r="AQ114">
        <v>1.247368</v>
      </c>
      <c r="AR114">
        <v>13.13283</v>
      </c>
      <c r="AT114">
        <v>3.2969469999999998</v>
      </c>
      <c r="AU114">
        <v>0.519841</v>
      </c>
      <c r="AV114">
        <v>3.2969469999999998</v>
      </c>
      <c r="AW114">
        <v>25.574259999999999</v>
      </c>
      <c r="AY114">
        <v>2.0509766555502602</v>
      </c>
      <c r="AZ114" s="1">
        <v>0.12800000607967399</v>
      </c>
      <c r="BA114" s="1">
        <v>0.15049999952316301</v>
      </c>
      <c r="BB114" s="1">
        <v>0.27850002050399802</v>
      </c>
      <c r="BC114" s="1">
        <v>2.9969939999999999</v>
      </c>
      <c r="BD114" s="2">
        <v>28.386196217474001</v>
      </c>
      <c r="BE114" s="2"/>
      <c r="BF114" s="2"/>
      <c r="BG114">
        <v>11179588</v>
      </c>
      <c r="BH114" s="3">
        <v>3117860</v>
      </c>
      <c r="BI114">
        <v>38.674834973345668</v>
      </c>
      <c r="BJ114" s="3">
        <v>3941824</v>
      </c>
      <c r="BK114">
        <v>1146391</v>
      </c>
      <c r="BL114">
        <v>41.009425015731019</v>
      </c>
      <c r="BM114" s="3">
        <v>678.7</v>
      </c>
      <c r="BN114">
        <v>246.10000000000002</v>
      </c>
      <c r="BO114">
        <v>56.888580674988447</v>
      </c>
      <c r="BP114">
        <v>18940664641.0499</v>
      </c>
      <c r="BQ114">
        <v>2092029432.4601002</v>
      </c>
      <c r="BR114">
        <v>12.416610642703796</v>
      </c>
      <c r="BU114">
        <v>2.0372115960700201</v>
      </c>
    </row>
    <row r="115" spans="1:73" x14ac:dyDescent="0.2">
      <c r="A115">
        <v>114</v>
      </c>
      <c r="B115" t="s">
        <v>71</v>
      </c>
      <c r="C115">
        <v>1993</v>
      </c>
      <c r="D115">
        <v>5</v>
      </c>
      <c r="E115">
        <v>0</v>
      </c>
      <c r="F115" t="s">
        <v>72</v>
      </c>
      <c r="G115">
        <v>0.69325000000000003</v>
      </c>
      <c r="H115">
        <v>0</v>
      </c>
      <c r="O115">
        <v>-0.72099999999999997</v>
      </c>
      <c r="Q115">
        <v>0</v>
      </c>
      <c r="R115">
        <v>8180.9</v>
      </c>
      <c r="S115">
        <v>3.3769999999999998</v>
      </c>
      <c r="T115">
        <v>22.44</v>
      </c>
      <c r="U115">
        <v>7.8</v>
      </c>
      <c r="W115" t="s">
        <v>54</v>
      </c>
      <c r="X115" t="s">
        <v>55</v>
      </c>
      <c r="Y115" t="s">
        <v>59</v>
      </c>
      <c r="Z115">
        <v>0.434</v>
      </c>
      <c r="AA115">
        <v>0.56599999999999995</v>
      </c>
      <c r="AB115">
        <v>161</v>
      </c>
      <c r="AC115">
        <v>5</v>
      </c>
      <c r="AE115">
        <v>-74.081999999999994</v>
      </c>
      <c r="AF115">
        <v>4.6098699999999999</v>
      </c>
      <c r="AG115" t="s">
        <v>57</v>
      </c>
      <c r="AH115" t="s">
        <v>58</v>
      </c>
      <c r="AI115">
        <v>3840.0680000000002</v>
      </c>
      <c r="AJ115">
        <v>5.3854100000000003</v>
      </c>
      <c r="AK115">
        <v>135000000000</v>
      </c>
      <c r="AL115">
        <v>28.67135</v>
      </c>
      <c r="AN115">
        <v>-3.1640350000000002</v>
      </c>
      <c r="AO115">
        <v>65.582189999999997</v>
      </c>
      <c r="AP115">
        <v>36.17747</v>
      </c>
      <c r="AQ115">
        <v>1.4434100000000001</v>
      </c>
      <c r="AR115">
        <v>14.05157</v>
      </c>
      <c r="AS115">
        <v>1.3404799999999999</v>
      </c>
      <c r="AT115">
        <v>3.1108449999999999</v>
      </c>
      <c r="AU115">
        <v>0.519841</v>
      </c>
      <c r="AV115">
        <v>3.1108449999999999</v>
      </c>
      <c r="AW115">
        <v>25.626709999999999</v>
      </c>
      <c r="AX115">
        <v>4.59</v>
      </c>
      <c r="AY115">
        <v>2.0509766555502602</v>
      </c>
      <c r="AZ115" s="1">
        <v>0.12800000607967399</v>
      </c>
      <c r="BA115" s="1">
        <v>0.15049999952316301</v>
      </c>
      <c r="BB115" s="1">
        <v>0.27850002050399802</v>
      </c>
      <c r="BC115" s="1">
        <v>2.9969939999999999</v>
      </c>
      <c r="BD115" s="2">
        <v>31.058577682321999</v>
      </c>
      <c r="BE115" s="2">
        <f t="shared" si="2"/>
        <v>2.672381464847998</v>
      </c>
      <c r="BF115" s="2">
        <f t="shared" si="3"/>
        <v>9.4143697322959081</v>
      </c>
      <c r="BG115">
        <v>15817286</v>
      </c>
      <c r="BH115" s="3">
        <v>4637698</v>
      </c>
      <c r="BI115">
        <v>41.483621757796442</v>
      </c>
      <c r="BJ115" s="3">
        <v>5124837</v>
      </c>
      <c r="BK115">
        <v>1183013</v>
      </c>
      <c r="BL115">
        <v>30.011816864476952</v>
      </c>
      <c r="BM115" s="3">
        <v>719.1</v>
      </c>
      <c r="BN115">
        <v>40.399999999999977</v>
      </c>
      <c r="BO115">
        <v>5.9525563577427398</v>
      </c>
      <c r="BP115">
        <v>25808376422.294601</v>
      </c>
      <c r="BQ115">
        <v>6867711781.2447014</v>
      </c>
      <c r="BR115">
        <v>36.259085472430478</v>
      </c>
      <c r="BS115">
        <v>0.91874029999999995</v>
      </c>
      <c r="BT115">
        <v>1.33996</v>
      </c>
      <c r="BU115">
        <v>3.3771713894618798</v>
      </c>
    </row>
    <row r="116" spans="1:73" x14ac:dyDescent="0.2">
      <c r="A116">
        <v>115</v>
      </c>
      <c r="B116" t="s">
        <v>71</v>
      </c>
      <c r="C116">
        <v>1994</v>
      </c>
      <c r="D116">
        <v>5</v>
      </c>
      <c r="E116">
        <v>0</v>
      </c>
      <c r="F116" t="s">
        <v>72</v>
      </c>
      <c r="G116">
        <v>0.69325000000000003</v>
      </c>
      <c r="H116">
        <v>0</v>
      </c>
      <c r="O116">
        <v>-0.72099999999999997</v>
      </c>
      <c r="Q116">
        <v>1</v>
      </c>
      <c r="R116">
        <v>8447.9</v>
      </c>
      <c r="S116">
        <v>3.839</v>
      </c>
      <c r="T116">
        <v>22.85</v>
      </c>
      <c r="U116">
        <v>8.25</v>
      </c>
      <c r="W116" t="s">
        <v>54</v>
      </c>
      <c r="X116" t="s">
        <v>55</v>
      </c>
      <c r="Y116" t="s">
        <v>59</v>
      </c>
      <c r="Z116">
        <v>0.434</v>
      </c>
      <c r="AA116">
        <v>0.56200000000000006</v>
      </c>
      <c r="AB116">
        <v>163</v>
      </c>
      <c r="AC116">
        <v>5</v>
      </c>
      <c r="AE116">
        <v>-74.081999999999994</v>
      </c>
      <c r="AF116">
        <v>4.6098699999999999</v>
      </c>
      <c r="AG116" t="s">
        <v>57</v>
      </c>
      <c r="AH116" t="s">
        <v>58</v>
      </c>
      <c r="AI116">
        <v>3987.482</v>
      </c>
      <c r="AJ116">
        <v>5.8146620000000002</v>
      </c>
      <c r="AK116">
        <v>143000000000</v>
      </c>
      <c r="AL116">
        <v>31.073609999999999</v>
      </c>
      <c r="AN116">
        <v>-4.4881460000000004</v>
      </c>
      <c r="AO116">
        <v>64.978120000000004</v>
      </c>
      <c r="AP116">
        <v>35.917540000000002</v>
      </c>
      <c r="AQ116">
        <v>1.7704230000000001</v>
      </c>
      <c r="AR116">
        <v>14.47345</v>
      </c>
      <c r="AS116">
        <v>0.42925210000000003</v>
      </c>
      <c r="AT116">
        <v>3.1289509999999998</v>
      </c>
      <c r="AU116">
        <v>0.519841</v>
      </c>
      <c r="AV116">
        <v>3.1289509999999998</v>
      </c>
      <c r="AW116">
        <v>25.683229999999998</v>
      </c>
      <c r="AX116">
        <v>0.40999980000000003</v>
      </c>
      <c r="AY116">
        <v>2.0509766555502602</v>
      </c>
      <c r="AZ116" s="1">
        <v>4.9500003457069397E-2</v>
      </c>
      <c r="BA116" s="1">
        <v>0.149000003933907</v>
      </c>
      <c r="BB116" s="1">
        <v>0.19850000739097601</v>
      </c>
      <c r="BC116" s="1">
        <v>2.7526747999999999</v>
      </c>
      <c r="BD116" s="2">
        <v>30.850425414991001</v>
      </c>
      <c r="BE116" s="2">
        <f t="shared" si="2"/>
        <v>0.20815226733099834</v>
      </c>
      <c r="BF116" s="2">
        <f t="shared" si="3"/>
        <v>0.67019252929111106</v>
      </c>
      <c r="BG116">
        <v>22569051</v>
      </c>
      <c r="BH116" s="3">
        <v>6751765</v>
      </c>
      <c r="BI116">
        <v>42.685989239873386</v>
      </c>
      <c r="BJ116" s="3">
        <v>6419027</v>
      </c>
      <c r="BK116">
        <v>1294190</v>
      </c>
      <c r="BL116">
        <v>25.253290982718084</v>
      </c>
      <c r="BM116" s="3">
        <v>1297.5349000000001</v>
      </c>
      <c r="BN116">
        <v>578.43490000000008</v>
      </c>
      <c r="BO116">
        <v>80.438728966764018</v>
      </c>
      <c r="BP116">
        <v>31338269798.443802</v>
      </c>
      <c r="BQ116">
        <v>5529893376.1492004</v>
      </c>
      <c r="BR116">
        <v>21.426738690048687</v>
      </c>
      <c r="BS116">
        <v>0.4218845</v>
      </c>
      <c r="BT116">
        <v>0.4616768</v>
      </c>
      <c r="BU116">
        <v>3.8388480397115901</v>
      </c>
    </row>
    <row r="117" spans="1:73" x14ac:dyDescent="0.2">
      <c r="A117">
        <v>116</v>
      </c>
      <c r="B117" t="s">
        <v>71</v>
      </c>
      <c r="C117">
        <v>1995</v>
      </c>
      <c r="D117">
        <v>5</v>
      </c>
      <c r="E117">
        <v>0</v>
      </c>
      <c r="F117" t="s">
        <v>72</v>
      </c>
      <c r="G117">
        <v>0.69325000000000003</v>
      </c>
      <c r="H117">
        <v>0</v>
      </c>
      <c r="O117">
        <v>0.57499999999999996</v>
      </c>
      <c r="Q117">
        <v>0</v>
      </c>
      <c r="R117">
        <v>8735.9</v>
      </c>
      <c r="S117">
        <v>3.2890000000000001</v>
      </c>
      <c r="T117">
        <v>20.9</v>
      </c>
      <c r="U117">
        <v>8.7200000000000006</v>
      </c>
      <c r="W117" t="s">
        <v>54</v>
      </c>
      <c r="X117" t="s">
        <v>55</v>
      </c>
      <c r="Y117" t="s">
        <v>59</v>
      </c>
      <c r="Z117">
        <v>0.439</v>
      </c>
      <c r="AA117">
        <v>0.56599999999999995</v>
      </c>
      <c r="AB117">
        <v>163</v>
      </c>
      <c r="AC117">
        <v>5</v>
      </c>
      <c r="AE117">
        <v>-74.081999999999994</v>
      </c>
      <c r="AF117">
        <v>4.6098699999999999</v>
      </c>
      <c r="AG117" t="s">
        <v>57</v>
      </c>
      <c r="AH117" t="s">
        <v>58</v>
      </c>
      <c r="AI117">
        <v>4118.6279999999997</v>
      </c>
      <c r="AJ117">
        <v>5.2024369999999998</v>
      </c>
      <c r="AK117">
        <v>150000000000</v>
      </c>
      <c r="AL117">
        <v>33.663429999999998</v>
      </c>
      <c r="AN117">
        <v>-4.8816439999999997</v>
      </c>
      <c r="AO117">
        <v>64.298770000000005</v>
      </c>
      <c r="AP117">
        <v>35.497230000000002</v>
      </c>
      <c r="AQ117">
        <v>1.046802</v>
      </c>
      <c r="AR117">
        <v>14.94838</v>
      </c>
      <c r="AS117">
        <v>0.61222460000000001</v>
      </c>
      <c r="AT117">
        <v>3.039749</v>
      </c>
      <c r="AU117">
        <v>0.330625</v>
      </c>
      <c r="AV117">
        <v>3.039749</v>
      </c>
      <c r="AW117">
        <v>25.73394</v>
      </c>
      <c r="AX117">
        <v>1.9500010000000001</v>
      </c>
      <c r="AY117">
        <v>3.0800381133873298</v>
      </c>
      <c r="AZ117" s="1">
        <v>4.9500003457069397E-2</v>
      </c>
      <c r="BA117" s="1">
        <v>0.149000003933907</v>
      </c>
      <c r="BB117" s="1">
        <v>0.19850000739097601</v>
      </c>
      <c r="BC117" s="1">
        <v>2.7526747999999999</v>
      </c>
      <c r="BD117" s="2">
        <v>30.545718925037001</v>
      </c>
      <c r="BE117" s="2">
        <f t="shared" si="2"/>
        <v>0.3047064899540004</v>
      </c>
      <c r="BF117" s="2">
        <f t="shared" si="3"/>
        <v>0.98768975096834755</v>
      </c>
      <c r="BG117">
        <v>28961289</v>
      </c>
      <c r="BH117" s="3">
        <v>6392238</v>
      </c>
      <c r="BI117">
        <v>28.323025190558521</v>
      </c>
      <c r="BJ117" s="3">
        <v>7717836</v>
      </c>
      <c r="BK117">
        <v>1298809</v>
      </c>
      <c r="BL117">
        <v>20.233736359108633</v>
      </c>
      <c r="BM117" s="3">
        <v>712.16790000000003</v>
      </c>
      <c r="BN117">
        <v>585.36700000000008</v>
      </c>
      <c r="BO117">
        <v>45.11377690110686</v>
      </c>
      <c r="BP117">
        <v>31622029311.2659</v>
      </c>
      <c r="BQ117">
        <v>283759512.82209778</v>
      </c>
      <c r="BR117">
        <v>0.90547281214672781</v>
      </c>
      <c r="BS117">
        <v>0.47492220000000002</v>
      </c>
      <c r="BT117">
        <v>0.54991009999999996</v>
      </c>
      <c r="BU117">
        <v>3.28893799901337</v>
      </c>
    </row>
    <row r="118" spans="1:73" x14ac:dyDescent="0.2">
      <c r="A118">
        <v>117</v>
      </c>
      <c r="B118" t="s">
        <v>71</v>
      </c>
      <c r="C118">
        <v>1996</v>
      </c>
      <c r="D118">
        <v>5</v>
      </c>
      <c r="E118">
        <v>0</v>
      </c>
      <c r="F118" t="s">
        <v>72</v>
      </c>
      <c r="G118">
        <v>0.69325000000000003</v>
      </c>
      <c r="H118">
        <v>0</v>
      </c>
      <c r="O118">
        <v>0.57499999999999996</v>
      </c>
      <c r="P118">
        <v>4.641</v>
      </c>
      <c r="Q118">
        <v>0</v>
      </c>
      <c r="R118">
        <v>8770.6</v>
      </c>
      <c r="S118">
        <v>0.253</v>
      </c>
      <c r="T118">
        <v>20.8</v>
      </c>
      <c r="U118">
        <v>11.81</v>
      </c>
      <c r="V118">
        <v>56.9</v>
      </c>
      <c r="W118" t="s">
        <v>54</v>
      </c>
      <c r="X118" t="s">
        <v>55</v>
      </c>
      <c r="Y118" t="s">
        <v>59</v>
      </c>
      <c r="Z118">
        <v>0.435</v>
      </c>
      <c r="AA118">
        <v>0.56200000000000006</v>
      </c>
      <c r="AB118">
        <v>163</v>
      </c>
      <c r="AC118">
        <v>5</v>
      </c>
      <c r="AE118">
        <v>-74.081999999999994</v>
      </c>
      <c r="AF118">
        <v>4.6098699999999999</v>
      </c>
      <c r="AG118" t="s">
        <v>57</v>
      </c>
      <c r="AH118" t="s">
        <v>58</v>
      </c>
      <c r="AI118">
        <v>4129.05</v>
      </c>
      <c r="AJ118">
        <v>2.0558550000000002</v>
      </c>
      <c r="AK118">
        <v>153000000000</v>
      </c>
      <c r="AL118">
        <v>35.323480000000004</v>
      </c>
      <c r="AN118">
        <v>-4.7768990000000002</v>
      </c>
      <c r="AO118">
        <v>63.757260000000002</v>
      </c>
      <c r="AP118">
        <v>36.044110000000003</v>
      </c>
      <c r="AQ118">
        <v>3.2026279999999998</v>
      </c>
      <c r="AR118">
        <v>17.994530000000001</v>
      </c>
      <c r="AS118">
        <v>3.1465830000000001</v>
      </c>
      <c r="AT118">
        <v>3.0349529999999998</v>
      </c>
      <c r="AU118">
        <v>0.330625</v>
      </c>
      <c r="AV118">
        <v>3.0349529999999998</v>
      </c>
      <c r="AW118">
        <v>25.754290000000001</v>
      </c>
      <c r="AX118">
        <v>0.1000004</v>
      </c>
      <c r="AY118">
        <v>3.0800381133873298</v>
      </c>
      <c r="AZ118" s="1">
        <v>4.9500003457069397E-2</v>
      </c>
      <c r="BA118" s="1">
        <v>0.149000003933907</v>
      </c>
      <c r="BB118" s="1">
        <v>0.19850000739097601</v>
      </c>
      <c r="BC118" s="1">
        <v>2.7526747999999999</v>
      </c>
      <c r="BD118" s="2">
        <v>30.930267267383002</v>
      </c>
      <c r="BE118" s="2">
        <f t="shared" si="2"/>
        <v>0.38454834234600099</v>
      </c>
      <c r="BF118" s="2">
        <f t="shared" si="3"/>
        <v>1.2589271291657287</v>
      </c>
      <c r="BG118">
        <v>34815524</v>
      </c>
      <c r="BH118" s="3">
        <v>5854235</v>
      </c>
      <c r="BI118">
        <v>20.214000143432841</v>
      </c>
      <c r="BJ118" s="3">
        <v>8992757</v>
      </c>
      <c r="BK118">
        <v>1274921</v>
      </c>
      <c r="BL118">
        <v>16.519151223218529</v>
      </c>
      <c r="BM118" s="3">
        <v>2783.7492999999999</v>
      </c>
      <c r="BN118">
        <v>2071.5814</v>
      </c>
      <c r="BO118">
        <v>290.88384915972767</v>
      </c>
      <c r="BP118">
        <v>31180552783.747799</v>
      </c>
      <c r="BQ118">
        <v>441476527.51810074</v>
      </c>
      <c r="BR118">
        <v>1.3961043523567194</v>
      </c>
      <c r="BS118">
        <v>3.046157</v>
      </c>
      <c r="BT118">
        <v>3.0358849999999999</v>
      </c>
      <c r="BU118">
        <v>0.25305283754990199</v>
      </c>
    </row>
    <row r="119" spans="1:73" x14ac:dyDescent="0.2">
      <c r="A119">
        <v>118</v>
      </c>
      <c r="B119" t="s">
        <v>71</v>
      </c>
      <c r="C119">
        <v>1997</v>
      </c>
      <c r="D119">
        <v>5</v>
      </c>
      <c r="E119">
        <v>0</v>
      </c>
      <c r="F119" t="s">
        <v>72</v>
      </c>
      <c r="G119">
        <v>0.69325000000000003</v>
      </c>
      <c r="H119">
        <v>0</v>
      </c>
      <c r="O119">
        <v>0.57499999999999996</v>
      </c>
      <c r="P119">
        <v>4.21</v>
      </c>
      <c r="Q119">
        <v>0</v>
      </c>
      <c r="R119">
        <v>8952.5</v>
      </c>
      <c r="S119">
        <v>1.655</v>
      </c>
      <c r="T119">
        <v>18.46</v>
      </c>
      <c r="U119">
        <v>12.14</v>
      </c>
      <c r="W119" t="s">
        <v>54</v>
      </c>
      <c r="X119" t="s">
        <v>55</v>
      </c>
      <c r="Y119" t="s">
        <v>59</v>
      </c>
      <c r="Z119">
        <v>0.435</v>
      </c>
      <c r="AA119">
        <v>0.56200000000000006</v>
      </c>
      <c r="AB119">
        <v>163</v>
      </c>
      <c r="AC119">
        <v>5</v>
      </c>
      <c r="AE119">
        <v>-74.081999999999994</v>
      </c>
      <c r="AF119">
        <v>4.6098699999999999</v>
      </c>
      <c r="AG119" t="s">
        <v>57</v>
      </c>
      <c r="AH119" t="s">
        <v>58</v>
      </c>
      <c r="AI119">
        <v>4197.3959999999997</v>
      </c>
      <c r="AJ119">
        <v>3.430294</v>
      </c>
      <c r="AK119">
        <v>158000000000</v>
      </c>
      <c r="AL119">
        <v>36.475850000000001</v>
      </c>
      <c r="AN119">
        <v>-5.3914689999999998</v>
      </c>
      <c r="AO119">
        <v>63.033940000000001</v>
      </c>
      <c r="AP119">
        <v>35.597070000000002</v>
      </c>
      <c r="AQ119">
        <v>5.2149279999999996</v>
      </c>
      <c r="AR119">
        <v>19.921309999999998</v>
      </c>
      <c r="AS119">
        <v>1.374439</v>
      </c>
      <c r="AT119">
        <v>2.9156059999999999</v>
      </c>
      <c r="AU119">
        <v>0.330625</v>
      </c>
      <c r="AV119">
        <v>2.9156059999999999</v>
      </c>
      <c r="AW119">
        <v>25.788019999999999</v>
      </c>
      <c r="AX119">
        <v>2.34</v>
      </c>
      <c r="AY119">
        <v>3.0800381133873298</v>
      </c>
      <c r="AZ119" s="1">
        <v>4.9500003457069397E-2</v>
      </c>
      <c r="BA119" s="1">
        <v>0.149000003933907</v>
      </c>
      <c r="BB119" s="1">
        <v>0.19850000739097601</v>
      </c>
      <c r="BC119" s="1">
        <v>2.7526747999999999</v>
      </c>
      <c r="BD119" s="2">
        <v>30.579645504725999</v>
      </c>
      <c r="BE119" s="2">
        <f t="shared" si="2"/>
        <v>0.35062176265700273</v>
      </c>
      <c r="BF119" s="2">
        <f t="shared" si="3"/>
        <v>1.1335878853744825</v>
      </c>
      <c r="BG119">
        <v>43794558</v>
      </c>
      <c r="BH119" s="3">
        <v>8979034</v>
      </c>
      <c r="BI119">
        <v>25.790316986181221</v>
      </c>
      <c r="BJ119" s="3">
        <v>10948010</v>
      </c>
      <c r="BK119">
        <v>1955253</v>
      </c>
      <c r="BL119">
        <v>21.742531239307368</v>
      </c>
      <c r="BM119" s="3">
        <v>4752.8002999999999</v>
      </c>
      <c r="BN119">
        <v>1969.0509999999999</v>
      </c>
      <c r="BO119">
        <v>70.733776206068555</v>
      </c>
      <c r="BP119">
        <v>30553650017.2929</v>
      </c>
      <c r="BQ119">
        <v>626902766.45489883</v>
      </c>
      <c r="BR119">
        <v>2.010556935288391</v>
      </c>
      <c r="BS119">
        <v>1.9267810000000001</v>
      </c>
      <c r="BT119">
        <v>1.4021699999999999</v>
      </c>
      <c r="BU119">
        <v>1.6552227234201</v>
      </c>
    </row>
    <row r="120" spans="1:73" x14ac:dyDescent="0.2">
      <c r="A120">
        <v>119</v>
      </c>
      <c r="B120" t="s">
        <v>71</v>
      </c>
      <c r="C120">
        <v>1998</v>
      </c>
      <c r="D120">
        <v>5</v>
      </c>
      <c r="E120">
        <v>1</v>
      </c>
      <c r="F120" t="s">
        <v>72</v>
      </c>
      <c r="G120">
        <v>0.69325000000000003</v>
      </c>
      <c r="H120">
        <v>0</v>
      </c>
      <c r="I120">
        <v>0.505</v>
      </c>
      <c r="J120">
        <v>0.77600000000000002</v>
      </c>
      <c r="K120">
        <v>1.579</v>
      </c>
      <c r="L120">
        <v>1.958</v>
      </c>
      <c r="M120">
        <v>0.48699999999999999</v>
      </c>
      <c r="N120">
        <v>0.75800000000000001</v>
      </c>
      <c r="O120">
        <v>0.57499999999999996</v>
      </c>
      <c r="P120">
        <v>5.5220000000000002</v>
      </c>
      <c r="Q120">
        <v>1</v>
      </c>
      <c r="R120">
        <v>8863.2999999999993</v>
      </c>
      <c r="S120">
        <v>-1.109</v>
      </c>
      <c r="T120">
        <v>18.68</v>
      </c>
      <c r="U120">
        <v>15</v>
      </c>
      <c r="W120" t="s">
        <v>54</v>
      </c>
      <c r="X120" t="s">
        <v>55</v>
      </c>
      <c r="Y120" t="s">
        <v>59</v>
      </c>
      <c r="Z120">
        <v>0.43</v>
      </c>
      <c r="AA120">
        <v>0.55300000000000005</v>
      </c>
      <c r="AB120">
        <v>161</v>
      </c>
      <c r="AC120">
        <v>5</v>
      </c>
      <c r="AD120">
        <v>5.4039149999999996</v>
      </c>
      <c r="AE120">
        <v>-74.081999999999994</v>
      </c>
      <c r="AF120">
        <v>4.6098699999999999</v>
      </c>
      <c r="AG120" t="s">
        <v>57</v>
      </c>
      <c r="AH120" t="s">
        <v>58</v>
      </c>
      <c r="AI120">
        <v>4150.835</v>
      </c>
      <c r="AJ120">
        <v>0.56978410000000002</v>
      </c>
      <c r="AK120">
        <v>159000000000</v>
      </c>
      <c r="AL120">
        <v>35.21855</v>
      </c>
      <c r="AM120">
        <v>5.4039149999999996</v>
      </c>
      <c r="AN120">
        <v>-4.9344159999999997</v>
      </c>
      <c r="AO120">
        <v>62.22</v>
      </c>
      <c r="AP120">
        <v>35.908920000000002</v>
      </c>
      <c r="AQ120">
        <v>2.8735460000000002</v>
      </c>
      <c r="AR120">
        <v>20.306940000000001</v>
      </c>
      <c r="AS120">
        <v>2.860509</v>
      </c>
      <c r="AT120">
        <v>2.927454</v>
      </c>
      <c r="AU120">
        <v>0.330625</v>
      </c>
      <c r="AV120">
        <v>2.927454</v>
      </c>
      <c r="AW120">
        <v>25.793700000000001</v>
      </c>
      <c r="AX120">
        <v>0.22000120000000001</v>
      </c>
      <c r="AY120">
        <v>3.0800381133873298</v>
      </c>
      <c r="AZ120" s="1">
        <v>9.1000005602836595E-2</v>
      </c>
      <c r="BA120" s="1">
        <v>0.16249999403953599</v>
      </c>
      <c r="BB120" s="1">
        <v>0.25349998474121099</v>
      </c>
      <c r="BC120" s="1">
        <v>3.1218838999999998</v>
      </c>
      <c r="BD120" s="2">
        <v>30.840575081627001</v>
      </c>
      <c r="BE120" s="2">
        <f t="shared" si="2"/>
        <v>0.26092957690100249</v>
      </c>
      <c r="BF120" s="2">
        <f t="shared" si="3"/>
        <v>0.85327861914120806</v>
      </c>
      <c r="BG120">
        <v>48558067</v>
      </c>
      <c r="BH120" s="3">
        <v>4763509</v>
      </c>
      <c r="BI120">
        <v>10.876942747087435</v>
      </c>
      <c r="BJ120" s="3">
        <v>10526462</v>
      </c>
      <c r="BK120">
        <v>421548</v>
      </c>
      <c r="BL120">
        <v>3.8504531873829126</v>
      </c>
      <c r="BM120" s="3">
        <v>2032.828</v>
      </c>
      <c r="BN120">
        <v>2719.9722999999999</v>
      </c>
      <c r="BO120">
        <v>57.228836229454032</v>
      </c>
      <c r="BP120">
        <v>28628496568.614601</v>
      </c>
      <c r="BQ120">
        <v>1925153448.678299</v>
      </c>
      <c r="BR120">
        <v>6.300895138841649</v>
      </c>
      <c r="BS120">
        <v>0.38562200000000002</v>
      </c>
      <c r="BT120">
        <v>2.7644820000000001</v>
      </c>
      <c r="BU120">
        <v>-1.10925963660314</v>
      </c>
    </row>
    <row r="121" spans="1:73" x14ac:dyDescent="0.2">
      <c r="A121">
        <v>120</v>
      </c>
      <c r="B121" t="s">
        <v>71</v>
      </c>
      <c r="C121">
        <v>1999</v>
      </c>
      <c r="D121">
        <v>5</v>
      </c>
      <c r="E121">
        <v>0</v>
      </c>
      <c r="F121" t="s">
        <v>72</v>
      </c>
      <c r="G121">
        <v>0.69325000000000003</v>
      </c>
      <c r="H121">
        <v>0</v>
      </c>
      <c r="I121">
        <v>0.505</v>
      </c>
      <c r="J121">
        <v>0.77600000000000002</v>
      </c>
      <c r="K121">
        <v>1.579</v>
      </c>
      <c r="L121">
        <v>1.958</v>
      </c>
      <c r="M121">
        <v>0.48699999999999999</v>
      </c>
      <c r="N121">
        <v>0.75800000000000001</v>
      </c>
      <c r="O121">
        <v>0.57499999999999996</v>
      </c>
      <c r="P121">
        <v>5.5220000000000002</v>
      </c>
      <c r="Q121">
        <v>0</v>
      </c>
      <c r="R121">
        <v>8382.1</v>
      </c>
      <c r="S121">
        <v>-5.7640000000000002</v>
      </c>
      <c r="T121">
        <v>10.87</v>
      </c>
      <c r="U121">
        <v>20.059999999999999</v>
      </c>
      <c r="V121">
        <v>58.7</v>
      </c>
      <c r="W121" t="s">
        <v>54</v>
      </c>
      <c r="X121" t="s">
        <v>55</v>
      </c>
      <c r="Y121" t="s">
        <v>59</v>
      </c>
      <c r="Z121">
        <v>0.42499999999999999</v>
      </c>
      <c r="AA121">
        <v>0.54700000000000004</v>
      </c>
      <c r="AB121">
        <v>161</v>
      </c>
      <c r="AC121">
        <v>5</v>
      </c>
      <c r="AD121">
        <v>19.065349999999999</v>
      </c>
      <c r="AE121">
        <v>-74.081999999999994</v>
      </c>
      <c r="AF121">
        <v>4.6098699999999999</v>
      </c>
      <c r="AG121" t="s">
        <v>57</v>
      </c>
      <c r="AH121" t="s">
        <v>58</v>
      </c>
      <c r="AI121">
        <v>3911.5729999999999</v>
      </c>
      <c r="AJ121">
        <v>-4.2040150000000001</v>
      </c>
      <c r="AK121">
        <v>153000000000</v>
      </c>
      <c r="AL121">
        <v>31.65418</v>
      </c>
      <c r="AM121">
        <v>19.065349999999999</v>
      </c>
      <c r="AN121">
        <v>0.77852690000000002</v>
      </c>
      <c r="AO121">
        <v>61.43206</v>
      </c>
      <c r="AP121">
        <v>36.149279999999997</v>
      </c>
      <c r="AQ121">
        <v>1.749593</v>
      </c>
      <c r="AR121">
        <v>22.160589999999999</v>
      </c>
      <c r="AS121">
        <v>4.7737990000000003</v>
      </c>
      <c r="AT121">
        <v>2.3860070000000002</v>
      </c>
      <c r="AU121">
        <v>0.330625</v>
      </c>
      <c r="AV121">
        <v>2.3860070000000002</v>
      </c>
      <c r="AW121">
        <v>25.75075</v>
      </c>
      <c r="AX121">
        <v>7.81</v>
      </c>
      <c r="AY121">
        <v>3.0800381133873298</v>
      </c>
      <c r="AZ121" s="1">
        <v>9.1000005602836595E-2</v>
      </c>
      <c r="BA121" s="1">
        <v>0.16249999403953599</v>
      </c>
      <c r="BB121" s="1">
        <v>0.25349998474121099</v>
      </c>
      <c r="BC121" s="1">
        <v>3.1218838999999998</v>
      </c>
      <c r="BD121" s="2">
        <v>30.416238054320999</v>
      </c>
      <c r="BE121" s="2">
        <f t="shared" si="2"/>
        <v>0.42433702730600231</v>
      </c>
      <c r="BF121" s="2">
        <f t="shared" si="3"/>
        <v>1.3759050412740108</v>
      </c>
      <c r="BG121">
        <v>53670529</v>
      </c>
      <c r="BH121" s="3">
        <v>5112462</v>
      </c>
      <c r="BI121">
        <v>10.52855337095688</v>
      </c>
      <c r="BJ121" s="3">
        <v>12813971</v>
      </c>
      <c r="BK121">
        <v>2287509</v>
      </c>
      <c r="BL121">
        <v>21.731033655942518</v>
      </c>
      <c r="BM121" s="3">
        <v>1392.3711000000001</v>
      </c>
      <c r="BN121">
        <v>640.45689999999991</v>
      </c>
      <c r="BO121">
        <v>31.50571027160192</v>
      </c>
      <c r="BP121">
        <v>18735532380.600498</v>
      </c>
      <c r="BQ121">
        <v>9892964188.0141029</v>
      </c>
      <c r="BR121">
        <v>34.556352494108097</v>
      </c>
      <c r="BS121">
        <v>1.8536570000000001</v>
      </c>
      <c r="BT121">
        <v>4.654928</v>
      </c>
      <c r="BU121">
        <v>-5.7641871279361796</v>
      </c>
    </row>
    <row r="122" spans="1:73" x14ac:dyDescent="0.2">
      <c r="A122">
        <v>121</v>
      </c>
      <c r="B122" t="s">
        <v>71</v>
      </c>
      <c r="C122">
        <v>2000</v>
      </c>
      <c r="D122">
        <v>5</v>
      </c>
      <c r="E122">
        <v>0</v>
      </c>
      <c r="F122" t="s">
        <v>72</v>
      </c>
      <c r="G122">
        <v>0.69325000000000003</v>
      </c>
      <c r="H122">
        <v>0</v>
      </c>
      <c r="I122">
        <v>0.505</v>
      </c>
      <c r="J122">
        <v>0.77600000000000002</v>
      </c>
      <c r="K122">
        <v>1.579</v>
      </c>
      <c r="L122">
        <v>1.958</v>
      </c>
      <c r="M122">
        <v>0.48699999999999999</v>
      </c>
      <c r="N122">
        <v>0.75800000000000001</v>
      </c>
      <c r="O122">
        <v>-0.32500000000000001</v>
      </c>
      <c r="P122">
        <v>4.17</v>
      </c>
      <c r="Q122">
        <v>0</v>
      </c>
      <c r="R122">
        <v>8496.7999999999993</v>
      </c>
      <c r="S122">
        <v>1.2869999999999999</v>
      </c>
      <c r="T122">
        <v>9.2200000000000006</v>
      </c>
      <c r="U122">
        <v>20.52</v>
      </c>
      <c r="V122">
        <v>58.7</v>
      </c>
      <c r="W122" t="s">
        <v>54</v>
      </c>
      <c r="X122" t="s">
        <v>55</v>
      </c>
      <c r="Y122" t="s">
        <v>59</v>
      </c>
      <c r="Z122">
        <v>0.42899999999999999</v>
      </c>
      <c r="AA122">
        <v>0.55300000000000005</v>
      </c>
      <c r="AB122">
        <v>161</v>
      </c>
      <c r="AC122">
        <v>5</v>
      </c>
      <c r="AD122">
        <v>17.709019999999999</v>
      </c>
      <c r="AE122">
        <v>-74.081999999999994</v>
      </c>
      <c r="AF122">
        <v>4.6098699999999999</v>
      </c>
      <c r="AG122" t="s">
        <v>57</v>
      </c>
      <c r="AH122" t="s">
        <v>58</v>
      </c>
      <c r="AI122">
        <v>3961.93</v>
      </c>
      <c r="AJ122">
        <v>2.9248609999999999</v>
      </c>
      <c r="AK122">
        <v>157000000000</v>
      </c>
      <c r="AL122">
        <v>20.947469999999999</v>
      </c>
      <c r="AM122">
        <v>17.709019999999999</v>
      </c>
      <c r="AN122">
        <v>0.84636409999999995</v>
      </c>
      <c r="AO122">
        <v>60.71275</v>
      </c>
      <c r="AP122">
        <v>32.667079999999999</v>
      </c>
      <c r="AQ122">
        <v>2.4392269999999998</v>
      </c>
      <c r="AR122">
        <v>16.472850000000001</v>
      </c>
      <c r="AS122">
        <v>7.1288770000000001</v>
      </c>
      <c r="AT122">
        <v>2.2213750000000001</v>
      </c>
      <c r="AU122">
        <v>0.105625</v>
      </c>
      <c r="AV122">
        <v>2.2213750000000001</v>
      </c>
      <c r="AW122">
        <v>25.779579999999999</v>
      </c>
      <c r="AX122">
        <v>1.65</v>
      </c>
      <c r="AY122">
        <v>2.36541210100048</v>
      </c>
      <c r="AZ122" s="1">
        <v>9.1000005602836595E-2</v>
      </c>
      <c r="BA122" s="1">
        <v>0.16249999403953599</v>
      </c>
      <c r="BB122" s="1">
        <v>0.25349998474121099</v>
      </c>
      <c r="BC122" s="1">
        <v>3.1218838999999998</v>
      </c>
      <c r="BD122" s="2">
        <v>34.268427270784997</v>
      </c>
      <c r="BE122" s="2">
        <f t="shared" si="2"/>
        <v>3.8521892164639979</v>
      </c>
      <c r="BF122" s="2">
        <f t="shared" si="3"/>
        <v>12.664910136435322</v>
      </c>
      <c r="BG122">
        <v>56663647</v>
      </c>
      <c r="BH122" s="3">
        <v>2993118</v>
      </c>
      <c r="BI122">
        <v>5.5768371502356535</v>
      </c>
      <c r="BJ122" s="3">
        <v>16720782</v>
      </c>
      <c r="BK122">
        <v>3906811</v>
      </c>
      <c r="BL122">
        <v>30.488683016373301</v>
      </c>
      <c r="BM122" s="3">
        <v>2111.1134000000002</v>
      </c>
      <c r="BN122">
        <v>718.74230000000011</v>
      </c>
      <c r="BO122">
        <v>51.62002428806516</v>
      </c>
      <c r="BP122">
        <v>18357289315.009998</v>
      </c>
      <c r="BQ122">
        <v>378243065.59049988</v>
      </c>
      <c r="BR122">
        <v>2.0188541105036735</v>
      </c>
      <c r="BS122">
        <v>5.6877420000000001</v>
      </c>
      <c r="BT122">
        <v>7.0515549999999996</v>
      </c>
      <c r="BU122">
        <v>1.28736782423051</v>
      </c>
    </row>
    <row r="123" spans="1:73" x14ac:dyDescent="0.2">
      <c r="A123">
        <v>122</v>
      </c>
      <c r="B123" t="s">
        <v>71</v>
      </c>
      <c r="C123">
        <v>2001</v>
      </c>
      <c r="D123">
        <v>5</v>
      </c>
      <c r="E123">
        <v>0</v>
      </c>
      <c r="F123" t="s">
        <v>72</v>
      </c>
      <c r="G123">
        <v>0.69325000000000003</v>
      </c>
      <c r="H123">
        <v>0</v>
      </c>
      <c r="I123">
        <v>0.505</v>
      </c>
      <c r="J123">
        <v>0.77600000000000002</v>
      </c>
      <c r="K123">
        <v>1.579</v>
      </c>
      <c r="L123">
        <v>1.958</v>
      </c>
      <c r="M123">
        <v>0.48699999999999999</v>
      </c>
      <c r="N123">
        <v>0.75800000000000001</v>
      </c>
      <c r="O123">
        <v>-0.14499999999999999</v>
      </c>
      <c r="P123">
        <v>4.32</v>
      </c>
      <c r="Q123">
        <v>0</v>
      </c>
      <c r="R123">
        <v>8528</v>
      </c>
      <c r="S123">
        <v>9.7000000000000003E-2</v>
      </c>
      <c r="T123">
        <v>7.97</v>
      </c>
      <c r="U123">
        <v>15.04</v>
      </c>
      <c r="V123">
        <v>57.5</v>
      </c>
      <c r="W123" t="s">
        <v>54</v>
      </c>
      <c r="X123" t="s">
        <v>55</v>
      </c>
      <c r="Y123" t="s">
        <v>59</v>
      </c>
      <c r="Z123">
        <v>0.42799999999999999</v>
      </c>
      <c r="AA123">
        <v>0.54800000000000004</v>
      </c>
      <c r="AB123">
        <v>161</v>
      </c>
      <c r="AC123">
        <v>5</v>
      </c>
      <c r="AE123">
        <v>-74.081999999999994</v>
      </c>
      <c r="AF123">
        <v>4.6098699999999999</v>
      </c>
      <c r="AG123" t="s">
        <v>57</v>
      </c>
      <c r="AH123" t="s">
        <v>58</v>
      </c>
      <c r="AI123">
        <v>3965.7640000000001</v>
      </c>
      <c r="AJ123">
        <v>1.6778979999999999</v>
      </c>
      <c r="AK123">
        <v>160000000000</v>
      </c>
      <c r="AL123">
        <v>21.906610000000001</v>
      </c>
      <c r="AN123">
        <v>-1.0592569999999999</v>
      </c>
      <c r="AO123">
        <v>59.843690000000002</v>
      </c>
      <c r="AP123">
        <v>33.901110000000003</v>
      </c>
      <c r="AQ123">
        <v>2.5882269999999998</v>
      </c>
      <c r="AR123">
        <v>16.566230000000001</v>
      </c>
      <c r="AS123">
        <v>1.246963</v>
      </c>
      <c r="AT123">
        <v>2.075685</v>
      </c>
      <c r="AU123">
        <v>2.1024999999999999E-2</v>
      </c>
      <c r="AV123">
        <v>2.075685</v>
      </c>
      <c r="AW123">
        <v>25.796220000000002</v>
      </c>
      <c r="AX123">
        <v>1.25</v>
      </c>
      <c r="AY123">
        <v>2.50833730347785</v>
      </c>
      <c r="AZ123" s="1">
        <v>9.1000005602836595E-2</v>
      </c>
      <c r="BA123" s="1">
        <v>0.16249999403953599</v>
      </c>
      <c r="BB123" s="1">
        <v>0.25349998474121099</v>
      </c>
      <c r="BC123" s="1">
        <v>3.1218838999999998</v>
      </c>
      <c r="BD123" s="2">
        <v>35.655059043115997</v>
      </c>
      <c r="BE123" s="2">
        <f t="shared" si="2"/>
        <v>1.3866317723310004</v>
      </c>
      <c r="BF123" s="2">
        <f t="shared" si="3"/>
        <v>4.0463828741657819</v>
      </c>
      <c r="BG123">
        <v>62158432</v>
      </c>
      <c r="BH123" s="3">
        <v>5494785</v>
      </c>
      <c r="BI123">
        <v>9.697196158235279</v>
      </c>
      <c r="BJ123" s="3">
        <v>18736950</v>
      </c>
      <c r="BK123">
        <v>2016168</v>
      </c>
      <c r="BL123">
        <v>12.057857102616373</v>
      </c>
      <c r="BM123" s="3">
        <v>2525.8231999999998</v>
      </c>
      <c r="BN123">
        <v>414.70979999999963</v>
      </c>
      <c r="BO123">
        <v>19.644127122683209</v>
      </c>
      <c r="BP123">
        <v>20141960598.434399</v>
      </c>
      <c r="BQ123">
        <v>1784671283.4244003</v>
      </c>
      <c r="BR123">
        <v>9.721867171125032</v>
      </c>
      <c r="BS123">
        <v>9.3380000000000005E-2</v>
      </c>
      <c r="BT123">
        <v>1.190588</v>
      </c>
      <c r="BU123">
        <v>9.6779497863423103E-2</v>
      </c>
    </row>
    <row r="124" spans="1:73" x14ac:dyDescent="0.2">
      <c r="A124">
        <v>123</v>
      </c>
      <c r="B124" t="s">
        <v>71</v>
      </c>
      <c r="C124">
        <v>2002</v>
      </c>
      <c r="D124">
        <v>5</v>
      </c>
      <c r="E124">
        <v>1</v>
      </c>
      <c r="F124" t="s">
        <v>72</v>
      </c>
      <c r="G124">
        <v>0.69325000000000003</v>
      </c>
      <c r="H124">
        <v>1</v>
      </c>
      <c r="I124">
        <v>8.3000000000000004E-2</v>
      </c>
      <c r="J124">
        <v>0.71099999999999997</v>
      </c>
      <c r="K124">
        <v>0.63900000000000001</v>
      </c>
      <c r="L124">
        <v>1.8740000000000001</v>
      </c>
      <c r="M124">
        <v>0.16600000000000001</v>
      </c>
      <c r="N124">
        <v>0.67</v>
      </c>
      <c r="O124">
        <v>0.65400000000000003</v>
      </c>
      <c r="P124">
        <v>4.423</v>
      </c>
      <c r="Q124">
        <v>1</v>
      </c>
      <c r="R124">
        <v>8630.5</v>
      </c>
      <c r="S124">
        <v>0.95099999999999996</v>
      </c>
      <c r="T124">
        <v>6.35</v>
      </c>
      <c r="U124">
        <v>14.48</v>
      </c>
      <c r="V124">
        <v>56</v>
      </c>
      <c r="W124" t="s">
        <v>54</v>
      </c>
      <c r="X124" t="s">
        <v>55</v>
      </c>
      <c r="Y124" t="s">
        <v>59</v>
      </c>
      <c r="Z124">
        <v>0.41199999999999998</v>
      </c>
      <c r="AA124">
        <v>0.53200000000000003</v>
      </c>
      <c r="AB124">
        <v>166</v>
      </c>
      <c r="AC124">
        <v>5</v>
      </c>
      <c r="AE124">
        <v>-74.081999999999994</v>
      </c>
      <c r="AF124">
        <v>4.6098699999999999</v>
      </c>
      <c r="AG124" t="s">
        <v>57</v>
      </c>
      <c r="AH124" t="s">
        <v>58</v>
      </c>
      <c r="AI124">
        <v>4003.4659999999999</v>
      </c>
      <c r="AJ124">
        <v>2.5039799999999999</v>
      </c>
      <c r="AK124">
        <v>164000000000</v>
      </c>
      <c r="AL124">
        <v>21.523309999999999</v>
      </c>
      <c r="AN124">
        <v>-1.316001</v>
      </c>
      <c r="AO124">
        <v>59.10277</v>
      </c>
      <c r="AP124">
        <v>32.982640000000004</v>
      </c>
      <c r="AQ124">
        <v>2.1780650000000001</v>
      </c>
      <c r="AR124">
        <v>16.040890000000001</v>
      </c>
      <c r="AS124">
        <v>0.82608210000000004</v>
      </c>
      <c r="AT124">
        <v>1.848455</v>
      </c>
      <c r="AU124">
        <v>0.42771599999999999</v>
      </c>
      <c r="AV124">
        <v>1.848455</v>
      </c>
      <c r="AW124">
        <v>25.82095</v>
      </c>
      <c r="AX124">
        <v>1.62</v>
      </c>
      <c r="AY124">
        <v>3.1427663966968402</v>
      </c>
      <c r="AZ124" s="1">
        <v>0.41550001502037098</v>
      </c>
      <c r="BA124" s="1">
        <v>0.16699999570846599</v>
      </c>
      <c r="BB124" s="1">
        <v>0.582499980926514</v>
      </c>
      <c r="BC124" s="1">
        <v>6.5915489999999997</v>
      </c>
      <c r="BD124" s="2">
        <v>34.701685622264002</v>
      </c>
      <c r="BE124" s="2">
        <f t="shared" si="2"/>
        <v>0.95337342085199595</v>
      </c>
      <c r="BF124" s="2">
        <f t="shared" si="3"/>
        <v>2.6738797983734259</v>
      </c>
      <c r="BG124">
        <v>66672228</v>
      </c>
      <c r="BH124" s="3">
        <v>4513796</v>
      </c>
      <c r="BI124">
        <v>7.2617597561019558</v>
      </c>
      <c r="BJ124" s="3">
        <v>21635640</v>
      </c>
      <c r="BK124">
        <v>2898690</v>
      </c>
      <c r="BL124">
        <v>15.470447431412262</v>
      </c>
      <c r="BM124" s="3">
        <v>1276.8724</v>
      </c>
      <c r="BN124">
        <v>1248.9507999999998</v>
      </c>
      <c r="BO124">
        <v>49.44727722827156</v>
      </c>
      <c r="BP124">
        <v>22381364060.0509</v>
      </c>
      <c r="BQ124">
        <v>2239403461.6165009</v>
      </c>
      <c r="BR124">
        <v>11.118100696664882</v>
      </c>
      <c r="BS124">
        <v>0.52533719999999995</v>
      </c>
      <c r="BT124">
        <v>0.85390140000000003</v>
      </c>
      <c r="BU124">
        <v>0.95068091369130103</v>
      </c>
    </row>
    <row r="125" spans="1:73" x14ac:dyDescent="0.2">
      <c r="A125">
        <v>124</v>
      </c>
      <c r="B125" t="s">
        <v>71</v>
      </c>
      <c r="C125">
        <v>2003</v>
      </c>
      <c r="D125">
        <v>5</v>
      </c>
      <c r="E125">
        <v>0</v>
      </c>
      <c r="F125" t="s">
        <v>72</v>
      </c>
      <c r="G125">
        <v>0.69325000000000003</v>
      </c>
      <c r="H125">
        <v>0</v>
      </c>
      <c r="I125">
        <v>8.3000000000000004E-2</v>
      </c>
      <c r="J125">
        <v>0.71099999999999997</v>
      </c>
      <c r="K125">
        <v>0.63900000000000001</v>
      </c>
      <c r="L125">
        <v>1.8740000000000001</v>
      </c>
      <c r="M125">
        <v>0.16600000000000001</v>
      </c>
      <c r="N125">
        <v>0.67</v>
      </c>
      <c r="O125">
        <v>0.65400000000000003</v>
      </c>
      <c r="P125">
        <v>4.3949999999999996</v>
      </c>
      <c r="Q125">
        <v>0</v>
      </c>
      <c r="R125">
        <v>8855.2000000000007</v>
      </c>
      <c r="S125">
        <v>2.3940000000000001</v>
      </c>
      <c r="T125">
        <v>7.13</v>
      </c>
      <c r="U125">
        <v>13.22</v>
      </c>
      <c r="V125">
        <v>53.6</v>
      </c>
      <c r="W125" t="s">
        <v>54</v>
      </c>
      <c r="X125" t="s">
        <v>55</v>
      </c>
      <c r="Y125" t="s">
        <v>59</v>
      </c>
      <c r="Z125">
        <v>0.42099999999999999</v>
      </c>
      <c r="AA125">
        <v>0.53700000000000003</v>
      </c>
      <c r="AB125">
        <v>166</v>
      </c>
      <c r="AC125">
        <v>5</v>
      </c>
      <c r="AD125">
        <v>52.535420000000002</v>
      </c>
      <c r="AE125">
        <v>-74.081999999999994</v>
      </c>
      <c r="AF125">
        <v>4.6098699999999999</v>
      </c>
      <c r="AG125" t="s">
        <v>57</v>
      </c>
      <c r="AH125" t="s">
        <v>58</v>
      </c>
      <c r="AI125">
        <v>4099.3059999999996</v>
      </c>
      <c r="AJ125">
        <v>3.918272</v>
      </c>
      <c r="AK125">
        <v>170000000000</v>
      </c>
      <c r="AL125">
        <v>21.076229999999999</v>
      </c>
      <c r="AM125">
        <v>52.535420000000002</v>
      </c>
      <c r="AN125">
        <v>-0.96363520000000003</v>
      </c>
      <c r="AO125">
        <v>58.397919999999999</v>
      </c>
      <c r="AP125">
        <v>36.516179999999999</v>
      </c>
      <c r="AQ125">
        <v>1.8179080000000001</v>
      </c>
      <c r="AR125">
        <v>15.61035</v>
      </c>
      <c r="AS125">
        <v>1.4142920000000001</v>
      </c>
      <c r="AT125">
        <v>1.9643109999999999</v>
      </c>
      <c r="AU125">
        <v>0.42771599999999999</v>
      </c>
      <c r="AV125">
        <v>1.9643109999999999</v>
      </c>
      <c r="AW125">
        <v>25.859390000000001</v>
      </c>
      <c r="AX125">
        <v>0.78000020000000003</v>
      </c>
      <c r="AY125">
        <v>3.1427663966968402</v>
      </c>
      <c r="AZ125" s="1">
        <v>0.41550001502037098</v>
      </c>
      <c r="BA125" s="1">
        <v>0.16699999570846599</v>
      </c>
      <c r="BB125" s="1">
        <v>0.582499980926514</v>
      </c>
      <c r="BC125" s="1">
        <v>6.5915489999999997</v>
      </c>
      <c r="BD125" s="2">
        <v>38.405327015018997</v>
      </c>
      <c r="BE125" s="2">
        <f t="shared" si="2"/>
        <v>3.7036413927549958</v>
      </c>
      <c r="BF125" s="2">
        <f t="shared" si="3"/>
        <v>10.67279968203851</v>
      </c>
      <c r="BG125">
        <v>74758399</v>
      </c>
      <c r="BH125" s="3">
        <v>8086171</v>
      </c>
      <c r="BI125">
        <v>12.12824476182197</v>
      </c>
      <c r="BJ125" s="3">
        <v>24918299</v>
      </c>
      <c r="BK125">
        <v>3282659</v>
      </c>
      <c r="BL125">
        <v>15.172460810033815</v>
      </c>
      <c r="BM125" s="3">
        <v>782.80629999999996</v>
      </c>
      <c r="BN125">
        <v>494.06610000000001</v>
      </c>
      <c r="BO125">
        <v>38.693459111497752</v>
      </c>
      <c r="BP125">
        <v>24952079098.329899</v>
      </c>
      <c r="BQ125">
        <v>2570715038.2789993</v>
      </c>
      <c r="BR125">
        <v>11.485962300517411</v>
      </c>
      <c r="BS125">
        <v>0.43054680000000001</v>
      </c>
      <c r="BT125">
        <v>1.4432590000000001</v>
      </c>
      <c r="BU125">
        <v>2.39393965906274</v>
      </c>
    </row>
    <row r="126" spans="1:73" x14ac:dyDescent="0.2">
      <c r="A126">
        <v>125</v>
      </c>
      <c r="B126" t="s">
        <v>71</v>
      </c>
      <c r="C126">
        <v>2004</v>
      </c>
      <c r="D126">
        <v>5</v>
      </c>
      <c r="E126">
        <v>0</v>
      </c>
      <c r="F126" t="s">
        <v>72</v>
      </c>
      <c r="G126">
        <v>0.69325000000000003</v>
      </c>
      <c r="H126">
        <v>0</v>
      </c>
      <c r="I126">
        <v>8.3000000000000004E-2</v>
      </c>
      <c r="J126">
        <v>0.71099999999999997</v>
      </c>
      <c r="K126">
        <v>0.63900000000000001</v>
      </c>
      <c r="L126">
        <v>1.8740000000000001</v>
      </c>
      <c r="M126">
        <v>0.16600000000000001</v>
      </c>
      <c r="N126">
        <v>0.67</v>
      </c>
      <c r="O126">
        <v>0.65400000000000003</v>
      </c>
      <c r="P126">
        <v>4.5860000000000003</v>
      </c>
      <c r="Q126">
        <v>0</v>
      </c>
      <c r="R126">
        <v>9211.2999999999993</v>
      </c>
      <c r="S126">
        <v>3.851</v>
      </c>
      <c r="T126">
        <v>5.9</v>
      </c>
      <c r="U126">
        <v>12.74</v>
      </c>
      <c r="V126">
        <v>55</v>
      </c>
      <c r="W126" t="s">
        <v>54</v>
      </c>
      <c r="X126" t="s">
        <v>55</v>
      </c>
      <c r="Y126" t="s">
        <v>59</v>
      </c>
      <c r="Z126">
        <v>0.42599999999999999</v>
      </c>
      <c r="AA126">
        <v>0.54200000000000004</v>
      </c>
      <c r="AB126">
        <v>166</v>
      </c>
      <c r="AC126">
        <v>5</v>
      </c>
      <c r="AE126">
        <v>-74.081999999999994</v>
      </c>
      <c r="AF126">
        <v>4.6098699999999999</v>
      </c>
      <c r="AG126" t="s">
        <v>57</v>
      </c>
      <c r="AH126" t="s">
        <v>58</v>
      </c>
      <c r="AI126">
        <v>4257.1629999999996</v>
      </c>
      <c r="AJ126">
        <v>5.3330219999999997</v>
      </c>
      <c r="AK126">
        <v>179000000000</v>
      </c>
      <c r="AL126">
        <v>22.19914</v>
      </c>
      <c r="AN126">
        <v>-0.66154460000000004</v>
      </c>
      <c r="AO126">
        <v>57.593110000000003</v>
      </c>
      <c r="AP126">
        <v>35.863430000000001</v>
      </c>
      <c r="AQ126">
        <v>2.6610830000000001</v>
      </c>
      <c r="AR126">
        <v>15.6816</v>
      </c>
      <c r="AS126">
        <v>1.41475</v>
      </c>
      <c r="AT126">
        <v>1.7749520000000001</v>
      </c>
      <c r="AU126">
        <v>0.42771599999999999</v>
      </c>
      <c r="AV126">
        <v>1.7749520000000001</v>
      </c>
      <c r="AW126">
        <v>25.911339999999999</v>
      </c>
      <c r="AX126">
        <v>1.23</v>
      </c>
      <c r="AY126">
        <v>3.1427663966968402</v>
      </c>
      <c r="AZ126" s="1">
        <v>0.41550001502037098</v>
      </c>
      <c r="BA126" s="1">
        <v>0.16699999570846599</v>
      </c>
      <c r="BB126" s="1">
        <v>0.582499980926514</v>
      </c>
      <c r="BC126" s="1">
        <v>6.5915489999999997</v>
      </c>
      <c r="BD126" s="2">
        <v>37.678686921724001</v>
      </c>
      <c r="BE126" s="2">
        <f t="shared" si="2"/>
        <v>0.72664009329499635</v>
      </c>
      <c r="BF126" s="2">
        <f t="shared" si="3"/>
        <v>1.8920294390693053</v>
      </c>
      <c r="BG126">
        <v>88342384</v>
      </c>
      <c r="BH126" s="3">
        <v>13583985</v>
      </c>
      <c r="BI126">
        <v>18.170513523169483</v>
      </c>
      <c r="BJ126" s="3">
        <v>29113724</v>
      </c>
      <c r="BK126">
        <v>4195425</v>
      </c>
      <c r="BL126">
        <v>16.836723084509099</v>
      </c>
      <c r="BM126" s="3">
        <v>2923.1867999999999</v>
      </c>
      <c r="BN126">
        <v>2140.3805000000002</v>
      </c>
      <c r="BO126">
        <v>273.42402584138637</v>
      </c>
      <c r="BP126">
        <v>27729277272.218498</v>
      </c>
      <c r="BQ126">
        <v>2777198173.8885994</v>
      </c>
      <c r="BR126">
        <v>11.130127325039153</v>
      </c>
      <c r="BS126">
        <v>7.1250900000000006E-2</v>
      </c>
      <c r="BT126">
        <v>1.456866</v>
      </c>
      <c r="BU126">
        <v>3.8508053476380901</v>
      </c>
    </row>
    <row r="127" spans="1:73" x14ac:dyDescent="0.2">
      <c r="A127">
        <v>126</v>
      </c>
      <c r="B127" t="s">
        <v>71</v>
      </c>
      <c r="C127">
        <v>2005</v>
      </c>
      <c r="D127">
        <v>5</v>
      </c>
      <c r="E127">
        <v>0</v>
      </c>
      <c r="F127" t="s">
        <v>72</v>
      </c>
      <c r="G127">
        <v>0.69325000000000003</v>
      </c>
      <c r="H127">
        <v>1</v>
      </c>
      <c r="I127">
        <v>8.3000000000000004E-2</v>
      </c>
      <c r="J127">
        <v>0.71099999999999997</v>
      </c>
      <c r="K127">
        <v>0.63900000000000001</v>
      </c>
      <c r="L127">
        <v>1.8740000000000001</v>
      </c>
      <c r="M127">
        <v>0.16600000000000001</v>
      </c>
      <c r="N127">
        <v>0.67</v>
      </c>
      <c r="O127">
        <v>0.65400000000000003</v>
      </c>
      <c r="P127">
        <v>4.68</v>
      </c>
      <c r="Q127">
        <v>0</v>
      </c>
      <c r="R127">
        <v>9524.7000000000007</v>
      </c>
      <c r="S127">
        <v>3.423</v>
      </c>
      <c r="T127">
        <v>5.05</v>
      </c>
      <c r="U127">
        <v>11.06</v>
      </c>
      <c r="V127">
        <v>53.9</v>
      </c>
      <c r="W127" t="s">
        <v>54</v>
      </c>
      <c r="X127" t="s">
        <v>55</v>
      </c>
      <c r="Y127" t="s">
        <v>59</v>
      </c>
      <c r="Z127">
        <v>0.42699999999999999</v>
      </c>
      <c r="AA127">
        <v>0.54100000000000004</v>
      </c>
      <c r="AB127">
        <v>166</v>
      </c>
      <c r="AC127">
        <v>5</v>
      </c>
      <c r="AE127">
        <v>-74.081999999999994</v>
      </c>
      <c r="AF127">
        <v>4.6098699999999999</v>
      </c>
      <c r="AG127" t="s">
        <v>57</v>
      </c>
      <c r="AH127" t="s">
        <v>58</v>
      </c>
      <c r="AI127">
        <v>4402.8990000000003</v>
      </c>
      <c r="AJ127">
        <v>4.8287610000000001</v>
      </c>
      <c r="AK127">
        <v>188000000000</v>
      </c>
      <c r="AL127">
        <v>22.75272</v>
      </c>
      <c r="AN127">
        <v>-1.3375600000000001</v>
      </c>
      <c r="AO127">
        <v>56.634569999999997</v>
      </c>
      <c r="AP127">
        <v>37.422699999999999</v>
      </c>
      <c r="AQ127">
        <v>7.0288930000000001</v>
      </c>
      <c r="AR127">
        <v>13.95617</v>
      </c>
      <c r="AS127">
        <v>0.50426099999999996</v>
      </c>
      <c r="AT127">
        <v>1.619388</v>
      </c>
      <c r="AU127">
        <v>0.42771599999999999</v>
      </c>
      <c r="AV127">
        <v>1.619388</v>
      </c>
      <c r="AW127">
        <v>25.95851</v>
      </c>
      <c r="AX127">
        <v>0.84999990000000003</v>
      </c>
      <c r="AY127">
        <v>3.1427663966968402</v>
      </c>
      <c r="AZ127" s="1">
        <v>0.41550001502037098</v>
      </c>
      <c r="BA127" s="1">
        <v>0.16699999570846599</v>
      </c>
      <c r="BB127" s="1">
        <v>0.582499980926514</v>
      </c>
      <c r="BC127" s="1">
        <v>6.5915489999999997</v>
      </c>
      <c r="BD127" s="2">
        <v>37.422697494955003</v>
      </c>
      <c r="BE127" s="2">
        <f t="shared" si="2"/>
        <v>0.25598942676899838</v>
      </c>
      <c r="BF127" s="2">
        <f t="shared" si="3"/>
        <v>0.67940113545041103</v>
      </c>
      <c r="BG127">
        <v>104088206</v>
      </c>
      <c r="BH127" s="3">
        <v>15745822</v>
      </c>
      <c r="BI127">
        <v>17.823632651797126</v>
      </c>
      <c r="BJ127" s="3">
        <v>34292648</v>
      </c>
      <c r="BK127">
        <v>5178924</v>
      </c>
      <c r="BL127">
        <v>17.788600317843226</v>
      </c>
      <c r="BM127" s="3">
        <v>5439.9058999999997</v>
      </c>
      <c r="BN127">
        <v>2516.7190999999998</v>
      </c>
      <c r="BO127">
        <v>86.095048732431323</v>
      </c>
      <c r="BP127">
        <v>31342718058.979099</v>
      </c>
      <c r="BQ127">
        <v>3613440786.760601</v>
      </c>
      <c r="BR127">
        <v>13.031139438967086</v>
      </c>
      <c r="BS127">
        <v>1.7254259999999999</v>
      </c>
      <c r="BT127">
        <v>0.4274831</v>
      </c>
      <c r="BU127">
        <v>3.4233222261312601</v>
      </c>
    </row>
    <row r="128" spans="1:73" x14ac:dyDescent="0.2">
      <c r="A128">
        <v>127</v>
      </c>
      <c r="B128" t="s">
        <v>71</v>
      </c>
      <c r="C128">
        <v>2006</v>
      </c>
      <c r="D128">
        <v>5</v>
      </c>
      <c r="E128">
        <v>1</v>
      </c>
      <c r="F128" t="s">
        <v>72</v>
      </c>
      <c r="G128">
        <v>0.69325000000000003</v>
      </c>
      <c r="H128">
        <v>0</v>
      </c>
      <c r="I128">
        <v>1.419</v>
      </c>
      <c r="J128">
        <v>1.444</v>
      </c>
      <c r="K128">
        <v>2.6469999999999998</v>
      </c>
      <c r="L128">
        <v>2.67</v>
      </c>
      <c r="M128">
        <v>0.88400000000000001</v>
      </c>
      <c r="N128">
        <v>0.93899999999999995</v>
      </c>
      <c r="O128">
        <v>0.65400000000000003</v>
      </c>
      <c r="P128">
        <v>4.75</v>
      </c>
      <c r="Q128">
        <v>1</v>
      </c>
      <c r="R128">
        <v>10039.700000000001</v>
      </c>
      <c r="S128">
        <v>5.35</v>
      </c>
      <c r="T128">
        <v>4.29</v>
      </c>
      <c r="U128">
        <v>11.29</v>
      </c>
      <c r="W128" t="s">
        <v>54</v>
      </c>
      <c r="X128" t="s">
        <v>55</v>
      </c>
      <c r="Y128" t="s">
        <v>59</v>
      </c>
      <c r="Z128">
        <v>0.435</v>
      </c>
      <c r="AA128">
        <v>0.55500000000000005</v>
      </c>
      <c r="AB128">
        <v>166</v>
      </c>
      <c r="AC128">
        <v>5</v>
      </c>
      <c r="AE128">
        <v>-74.081999999999994</v>
      </c>
      <c r="AF128">
        <v>4.6098699999999999</v>
      </c>
      <c r="AG128" t="s">
        <v>57</v>
      </c>
      <c r="AH128" t="s">
        <v>58</v>
      </c>
      <c r="AI128">
        <v>4638.4719999999998</v>
      </c>
      <c r="AJ128">
        <v>6.716869</v>
      </c>
      <c r="AK128">
        <v>200000000000</v>
      </c>
      <c r="AL128">
        <v>27.329329999999999</v>
      </c>
      <c r="AN128">
        <v>-1.8506609999999999</v>
      </c>
      <c r="AO128">
        <v>55.664110000000001</v>
      </c>
      <c r="AP128">
        <v>39.641359999999999</v>
      </c>
      <c r="AQ128">
        <v>4.1768869999999998</v>
      </c>
      <c r="AR128">
        <v>13.88062</v>
      </c>
      <c r="AS128">
        <v>1.8881079999999999</v>
      </c>
      <c r="AT128">
        <v>1.4562870000000001</v>
      </c>
      <c r="AU128">
        <v>0.42771599999999999</v>
      </c>
      <c r="AV128">
        <v>1.4562870000000001</v>
      </c>
      <c r="AW128">
        <v>26.023510000000002</v>
      </c>
      <c r="AX128">
        <v>0.76000020000000001</v>
      </c>
      <c r="AY128">
        <v>3.1427663966968402</v>
      </c>
      <c r="AZ128" s="1">
        <v>0.34500002861022999</v>
      </c>
      <c r="BA128" s="1">
        <v>0.187999993562698</v>
      </c>
      <c r="BB128" s="1">
        <v>0.53299999237060602</v>
      </c>
      <c r="BC128" s="1">
        <v>7.6374719999999998</v>
      </c>
      <c r="BD128" s="2">
        <v>39.641355960628999</v>
      </c>
      <c r="BE128" s="2">
        <f t="shared" si="2"/>
        <v>2.2186584656739967</v>
      </c>
      <c r="BF128" s="2">
        <f t="shared" si="3"/>
        <v>5.9286438824274938</v>
      </c>
      <c r="BG128">
        <v>122183498</v>
      </c>
      <c r="BH128" s="3">
        <v>18095292</v>
      </c>
      <c r="BI128">
        <v>17.38457477113209</v>
      </c>
      <c r="BJ128" s="3">
        <v>40527503</v>
      </c>
      <c r="BK128">
        <v>6234855</v>
      </c>
      <c r="BL128">
        <v>18.181316881682626</v>
      </c>
      <c r="BM128" s="3">
        <v>5482.8685999999998</v>
      </c>
      <c r="BN128">
        <v>42.962700000000041</v>
      </c>
      <c r="BO128">
        <v>0.78976917597048957</v>
      </c>
      <c r="BP128">
        <v>37226270477.3209</v>
      </c>
      <c r="BQ128">
        <v>5883552418.3418007</v>
      </c>
      <c r="BR128">
        <v>18.771672601177848</v>
      </c>
      <c r="BS128">
        <v>7.5551999999999994E-2</v>
      </c>
      <c r="BT128">
        <v>1.9270799999999999</v>
      </c>
      <c r="BU128">
        <v>5.3504025162243796</v>
      </c>
    </row>
    <row r="129" spans="1:73" x14ac:dyDescent="0.2">
      <c r="A129">
        <v>128</v>
      </c>
      <c r="B129" t="s">
        <v>71</v>
      </c>
      <c r="C129">
        <v>2007</v>
      </c>
      <c r="D129">
        <v>5</v>
      </c>
      <c r="E129">
        <v>0</v>
      </c>
      <c r="F129" t="s">
        <v>72</v>
      </c>
      <c r="G129">
        <v>0.69325000000000003</v>
      </c>
      <c r="H129">
        <v>0</v>
      </c>
      <c r="I129">
        <v>1.419</v>
      </c>
      <c r="J129">
        <v>1.444</v>
      </c>
      <c r="K129">
        <v>2.6469999999999998</v>
      </c>
      <c r="L129">
        <v>2.67</v>
      </c>
      <c r="M129">
        <v>0.88400000000000001</v>
      </c>
      <c r="N129">
        <v>0.93899999999999995</v>
      </c>
      <c r="O129">
        <v>0.65400000000000003</v>
      </c>
      <c r="P129">
        <v>4.585</v>
      </c>
      <c r="Q129">
        <v>0</v>
      </c>
      <c r="R129">
        <v>10602.3</v>
      </c>
      <c r="S129">
        <v>5.4290000000000003</v>
      </c>
      <c r="T129">
        <v>5.55</v>
      </c>
      <c r="U129">
        <v>10.25</v>
      </c>
      <c r="W129" t="s">
        <v>54</v>
      </c>
      <c r="X129" t="s">
        <v>55</v>
      </c>
      <c r="Y129" t="s">
        <v>59</v>
      </c>
      <c r="Z129">
        <v>0.44</v>
      </c>
      <c r="AA129">
        <v>0.56200000000000006</v>
      </c>
      <c r="AB129">
        <v>166</v>
      </c>
      <c r="AC129">
        <v>5</v>
      </c>
      <c r="AE129">
        <v>-74.081999999999994</v>
      </c>
      <c r="AF129">
        <v>4.6098699999999999</v>
      </c>
      <c r="AG129" t="s">
        <v>57</v>
      </c>
      <c r="AH129" t="s">
        <v>58</v>
      </c>
      <c r="AI129">
        <v>4890.2780000000002</v>
      </c>
      <c r="AJ129">
        <v>6.738194</v>
      </c>
      <c r="AK129">
        <v>214000000000</v>
      </c>
      <c r="AL129">
        <v>30.566569999999999</v>
      </c>
      <c r="AN129">
        <v>-2.9826169999999999</v>
      </c>
      <c r="AO129">
        <v>54.52619</v>
      </c>
      <c r="AP129">
        <v>37.0989</v>
      </c>
      <c r="AQ129">
        <v>4.3096740000000002</v>
      </c>
      <c r="AR129">
        <v>13.730029999999999</v>
      </c>
      <c r="AS129">
        <v>2.13256E-2</v>
      </c>
      <c r="AT129">
        <v>1.7137979999999999</v>
      </c>
      <c r="AU129">
        <v>0.42771599999999999</v>
      </c>
      <c r="AV129">
        <v>1.7137979999999999</v>
      </c>
      <c r="AW129">
        <v>26.088719999999999</v>
      </c>
      <c r="AX129">
        <v>1.26</v>
      </c>
      <c r="AY129">
        <v>3.1427663966968402</v>
      </c>
      <c r="AZ129" s="1">
        <v>0.34500002861022999</v>
      </c>
      <c r="BA129" s="1">
        <v>0.187999993562698</v>
      </c>
      <c r="BB129" s="1">
        <v>0.53299999237060602</v>
      </c>
      <c r="BC129" s="1">
        <v>7.6374719999999998</v>
      </c>
      <c r="BD129" s="2">
        <v>37.098897098290003</v>
      </c>
      <c r="BE129" s="2">
        <f t="shared" si="2"/>
        <v>2.5424588623389965</v>
      </c>
      <c r="BF129" s="2">
        <f t="shared" si="3"/>
        <v>6.4136526128523847</v>
      </c>
      <c r="BG129">
        <v>144058889</v>
      </c>
      <c r="BH129" s="3">
        <v>21875391</v>
      </c>
      <c r="BI129">
        <v>17.903719698710869</v>
      </c>
      <c r="BJ129" s="3">
        <v>45362271</v>
      </c>
      <c r="BK129">
        <v>4834768</v>
      </c>
      <c r="BL129">
        <v>11.929597537751093</v>
      </c>
      <c r="BM129" s="3">
        <v>7606.9679999999998</v>
      </c>
      <c r="BN129">
        <v>2124.0994000000001</v>
      </c>
      <c r="BO129">
        <v>38.74065849398616</v>
      </c>
      <c r="BP129">
        <v>44631041413.943199</v>
      </c>
      <c r="BQ129">
        <v>7404770936.6222992</v>
      </c>
      <c r="BR129">
        <v>19.891251102184562</v>
      </c>
      <c r="BS129">
        <v>0.1505909</v>
      </c>
      <c r="BT129">
        <v>7.8232300000000005E-2</v>
      </c>
      <c r="BU129">
        <v>5.4286348469185599</v>
      </c>
    </row>
    <row r="130" spans="1:73" x14ac:dyDescent="0.2">
      <c r="A130">
        <v>129</v>
      </c>
      <c r="B130" t="s">
        <v>71</v>
      </c>
      <c r="C130">
        <v>2008</v>
      </c>
      <c r="D130">
        <v>5</v>
      </c>
      <c r="E130">
        <v>0</v>
      </c>
      <c r="F130" t="s">
        <v>72</v>
      </c>
      <c r="G130">
        <v>0.69325000000000003</v>
      </c>
      <c r="H130">
        <v>0</v>
      </c>
      <c r="I130">
        <v>1.419</v>
      </c>
      <c r="J130">
        <v>1.444</v>
      </c>
      <c r="K130">
        <v>2.6469999999999998</v>
      </c>
      <c r="L130">
        <v>2.67</v>
      </c>
      <c r="M130">
        <v>0.88400000000000001</v>
      </c>
      <c r="N130">
        <v>0.93899999999999995</v>
      </c>
      <c r="O130">
        <v>0.65400000000000003</v>
      </c>
      <c r="P130">
        <v>4.585</v>
      </c>
      <c r="Q130">
        <v>0</v>
      </c>
      <c r="R130">
        <v>10846.7</v>
      </c>
      <c r="S130">
        <v>2.0760000000000001</v>
      </c>
      <c r="T130">
        <v>7</v>
      </c>
      <c r="U130">
        <v>10.49</v>
      </c>
      <c r="V130">
        <v>55.3</v>
      </c>
      <c r="W130" t="s">
        <v>54</v>
      </c>
      <c r="X130" t="s">
        <v>55</v>
      </c>
      <c r="Y130" t="s">
        <v>59</v>
      </c>
      <c r="Z130">
        <v>0.44800000000000001</v>
      </c>
      <c r="AA130">
        <v>0.56799999999999995</v>
      </c>
      <c r="AB130">
        <v>166</v>
      </c>
      <c r="AC130">
        <v>5</v>
      </c>
      <c r="AD130">
        <v>65.245080000000002</v>
      </c>
      <c r="AE130">
        <v>-74.081999999999994</v>
      </c>
      <c r="AF130">
        <v>4.6098699999999999</v>
      </c>
      <c r="AG130" t="s">
        <v>57</v>
      </c>
      <c r="AH130" t="s">
        <v>58</v>
      </c>
      <c r="AI130">
        <v>4991.7889999999998</v>
      </c>
      <c r="AJ130">
        <v>3.2834460000000001</v>
      </c>
      <c r="AK130">
        <v>221000000000</v>
      </c>
      <c r="AL130">
        <v>31.342880000000001</v>
      </c>
      <c r="AM130">
        <v>65.245080000000002</v>
      </c>
      <c r="AN130">
        <v>-2.68275</v>
      </c>
      <c r="AO130">
        <v>53.315350000000002</v>
      </c>
      <c r="AP130">
        <v>39.167650000000002</v>
      </c>
      <c r="AQ130">
        <v>4.3619839999999996</v>
      </c>
      <c r="AR130">
        <v>13.14395</v>
      </c>
      <c r="AS130">
        <v>3.4547479999999999</v>
      </c>
      <c r="AT130">
        <v>1.94591</v>
      </c>
      <c r="AU130">
        <v>0.42771599999999999</v>
      </c>
      <c r="AV130">
        <v>1.94591</v>
      </c>
      <c r="AW130">
        <v>26.121030000000001</v>
      </c>
      <c r="AX130">
        <v>1.45</v>
      </c>
      <c r="AY130">
        <v>3.1427663966968402</v>
      </c>
      <c r="AZ130" s="1">
        <v>0.34500002861022999</v>
      </c>
      <c r="BA130" s="1">
        <v>0.187999993562698</v>
      </c>
      <c r="BB130" s="1">
        <v>0.53299999237060602</v>
      </c>
      <c r="BC130" s="1">
        <v>7.6374719999999998</v>
      </c>
      <c r="BD130" s="2">
        <v>39.167649416434998</v>
      </c>
      <c r="BE130" s="2">
        <f t="shared" si="2"/>
        <v>2.0687523181449947</v>
      </c>
      <c r="BF130" s="2">
        <f t="shared" si="3"/>
        <v>5.576317572633041</v>
      </c>
      <c r="BG130">
        <v>168764174</v>
      </c>
      <c r="BH130" s="3">
        <v>24705285</v>
      </c>
      <c r="BI130">
        <v>17.149434631555433</v>
      </c>
      <c r="BJ130" s="3">
        <v>49095538</v>
      </c>
      <c r="BK130">
        <v>3733267</v>
      </c>
      <c r="BL130">
        <v>8.2298943983646673</v>
      </c>
      <c r="BM130" s="3">
        <v>7479.0313999999998</v>
      </c>
      <c r="BN130">
        <v>127.9366</v>
      </c>
      <c r="BO130">
        <v>1.6818343392531689</v>
      </c>
      <c r="BP130">
        <v>43419099640.688202</v>
      </c>
      <c r="BQ130">
        <v>1211941773.2549973</v>
      </c>
      <c r="BR130">
        <v>2.7154682814019528</v>
      </c>
      <c r="BS130">
        <v>0.58608340000000003</v>
      </c>
      <c r="BT130">
        <v>3.3528500000000001</v>
      </c>
      <c r="BU130">
        <v>2.07578409424285</v>
      </c>
    </row>
    <row r="131" spans="1:73" x14ac:dyDescent="0.2">
      <c r="A131">
        <v>130</v>
      </c>
      <c r="B131" t="s">
        <v>71</v>
      </c>
      <c r="C131">
        <v>2009</v>
      </c>
      <c r="D131">
        <v>5</v>
      </c>
      <c r="E131">
        <v>0</v>
      </c>
      <c r="F131" t="s">
        <v>72</v>
      </c>
      <c r="G131">
        <v>0.69325000000000003</v>
      </c>
      <c r="H131">
        <v>0</v>
      </c>
      <c r="I131">
        <v>1.419</v>
      </c>
      <c r="J131">
        <v>1.444</v>
      </c>
      <c r="K131">
        <v>2.6469999999999998</v>
      </c>
      <c r="L131">
        <v>2.67</v>
      </c>
      <c r="M131">
        <v>0.88400000000000001</v>
      </c>
      <c r="N131">
        <v>0.93899999999999995</v>
      </c>
      <c r="O131">
        <v>1.2789999999999999</v>
      </c>
      <c r="P131">
        <v>4.2699999999999996</v>
      </c>
      <c r="Q131">
        <v>0</v>
      </c>
      <c r="R131">
        <v>10894.1</v>
      </c>
      <c r="S131">
        <v>2.1000000000000001E-2</v>
      </c>
      <c r="T131">
        <v>4.2</v>
      </c>
      <c r="U131">
        <v>11.29</v>
      </c>
      <c r="V131">
        <v>54.3</v>
      </c>
      <c r="W131" t="s">
        <v>54</v>
      </c>
      <c r="X131" t="s">
        <v>55</v>
      </c>
      <c r="Y131" t="s">
        <v>59</v>
      </c>
      <c r="Z131">
        <v>0.44800000000000001</v>
      </c>
      <c r="AA131">
        <v>0.56999999999999995</v>
      </c>
      <c r="AB131">
        <v>166</v>
      </c>
      <c r="AC131">
        <v>5</v>
      </c>
      <c r="AD131">
        <v>68.998999999999995</v>
      </c>
      <c r="AE131">
        <v>-74.081999999999994</v>
      </c>
      <c r="AF131">
        <v>4.6098699999999999</v>
      </c>
      <c r="AG131" t="s">
        <v>57</v>
      </c>
      <c r="AH131" t="s">
        <v>58</v>
      </c>
      <c r="AI131">
        <v>4992.8230000000003</v>
      </c>
      <c r="AJ131">
        <v>1.1396489999999999</v>
      </c>
      <c r="AK131">
        <v>223000000000</v>
      </c>
      <c r="AL131">
        <v>30.05885</v>
      </c>
      <c r="AM131">
        <v>68.998999999999995</v>
      </c>
      <c r="AN131">
        <v>-1.9075070000000001</v>
      </c>
      <c r="AO131">
        <v>52.176250000000003</v>
      </c>
      <c r="AP131">
        <v>35.156129999999997</v>
      </c>
      <c r="AQ131">
        <v>3.4573239999999998</v>
      </c>
      <c r="AR131">
        <v>13.80414</v>
      </c>
      <c r="AS131">
        <v>2.1437970000000002</v>
      </c>
      <c r="AT131">
        <v>1.435084</v>
      </c>
      <c r="AU131">
        <v>1.6358410000000001</v>
      </c>
      <c r="AV131">
        <v>1.435084</v>
      </c>
      <c r="AW131">
        <v>26.132359999999998</v>
      </c>
      <c r="AX131">
        <v>2.8</v>
      </c>
      <c r="AY131">
        <v>3.6390344608543801</v>
      </c>
      <c r="AZ131" s="1">
        <v>0.34500002861022999</v>
      </c>
      <c r="BA131" s="1">
        <v>0.187999993562698</v>
      </c>
      <c r="BB131" s="1">
        <v>0.53299999237060602</v>
      </c>
      <c r="BC131" s="1">
        <v>7.6374719999999998</v>
      </c>
      <c r="BD131" s="2">
        <v>35.156128507459002</v>
      </c>
      <c r="BE131" s="2">
        <f t="shared" si="2"/>
        <v>4.0115209089759958</v>
      </c>
      <c r="BF131" s="2">
        <f t="shared" si="3"/>
        <v>10.24192405912604</v>
      </c>
      <c r="BG131">
        <v>177815965</v>
      </c>
      <c r="BH131" s="3">
        <v>9051791</v>
      </c>
      <c r="BI131">
        <v>5.3635737878822551</v>
      </c>
      <c r="BJ131" s="3">
        <v>52756330</v>
      </c>
      <c r="BK131">
        <v>3660792</v>
      </c>
      <c r="BL131">
        <v>7.456465799397086</v>
      </c>
      <c r="BM131" s="3">
        <v>4530.0882000000001</v>
      </c>
      <c r="BN131">
        <v>2948.9431999999997</v>
      </c>
      <c r="BO131">
        <v>39.429480132948761</v>
      </c>
      <c r="BP131">
        <v>45353538149.669403</v>
      </c>
      <c r="BQ131">
        <v>1934438508.9812012</v>
      </c>
      <c r="BR131">
        <v>4.4552708945821431</v>
      </c>
      <c r="BS131">
        <v>0.66019919999999999</v>
      </c>
      <c r="BT131">
        <v>2.0550709999999999</v>
      </c>
      <c r="BU131">
        <v>2.0713246414928201E-2</v>
      </c>
    </row>
    <row r="132" spans="1:73" x14ac:dyDescent="0.2">
      <c r="A132">
        <v>131</v>
      </c>
      <c r="B132" t="s">
        <v>71</v>
      </c>
      <c r="C132">
        <v>2010</v>
      </c>
      <c r="D132">
        <v>5</v>
      </c>
      <c r="E132">
        <v>1</v>
      </c>
      <c r="F132" t="s">
        <v>72</v>
      </c>
      <c r="G132">
        <v>0.69325000000000003</v>
      </c>
      <c r="H132">
        <v>0</v>
      </c>
      <c r="I132">
        <v>1.339</v>
      </c>
      <c r="J132">
        <v>0.83299999999999996</v>
      </c>
      <c r="K132">
        <v>2.5710000000000002</v>
      </c>
      <c r="L132">
        <v>2.028</v>
      </c>
      <c r="M132">
        <v>0.68300000000000005</v>
      </c>
      <c r="N132">
        <v>0.55400000000000005</v>
      </c>
      <c r="O132">
        <v>1.0820000000000001</v>
      </c>
      <c r="P132">
        <v>4.46</v>
      </c>
      <c r="Q132">
        <v>1</v>
      </c>
      <c r="R132">
        <v>11191.7</v>
      </c>
      <c r="S132">
        <v>3.403</v>
      </c>
      <c r="T132">
        <v>2.27</v>
      </c>
      <c r="U132">
        <v>10.98</v>
      </c>
      <c r="V132">
        <v>54.6</v>
      </c>
      <c r="W132" t="s">
        <v>54</v>
      </c>
      <c r="X132" t="s">
        <v>55</v>
      </c>
      <c r="Y132" t="s">
        <v>59</v>
      </c>
      <c r="Z132">
        <v>0.48899999999999999</v>
      </c>
      <c r="AA132">
        <v>0.61599999999999999</v>
      </c>
      <c r="AB132">
        <v>165</v>
      </c>
      <c r="AC132">
        <v>5</v>
      </c>
      <c r="AD132">
        <v>72.452669999999998</v>
      </c>
      <c r="AE132">
        <v>-74.081999999999994</v>
      </c>
      <c r="AF132">
        <v>4.6098699999999999</v>
      </c>
      <c r="AG132" t="s">
        <v>57</v>
      </c>
      <c r="AH132" t="s">
        <v>58</v>
      </c>
      <c r="AI132">
        <v>5162.7060000000001</v>
      </c>
      <c r="AJ132">
        <v>4.4946590000000004</v>
      </c>
      <c r="AK132">
        <v>234000000000</v>
      </c>
      <c r="AL132">
        <v>32.352960000000003</v>
      </c>
      <c r="AM132">
        <v>72.452669999999998</v>
      </c>
      <c r="AN132">
        <v>-2.9951560000000002</v>
      </c>
      <c r="AO132">
        <v>51.182870000000001</v>
      </c>
      <c r="AP132">
        <v>34.264600000000002</v>
      </c>
      <c r="AQ132">
        <v>2.24383</v>
      </c>
      <c r="AR132">
        <v>13.760249999999999</v>
      </c>
      <c r="AS132">
        <v>3.35501</v>
      </c>
      <c r="AT132">
        <v>0.81977979999999995</v>
      </c>
      <c r="AU132">
        <v>1.1707240000000001</v>
      </c>
      <c r="AV132">
        <v>0.81977979999999995</v>
      </c>
      <c r="AW132">
        <v>26.17632</v>
      </c>
      <c r="AX132">
        <v>1.93</v>
      </c>
      <c r="AY132">
        <v>3.48261076703192</v>
      </c>
      <c r="AZ132" s="1">
        <v>0.18400000035762801</v>
      </c>
      <c r="BA132" s="1">
        <v>0.12849999964237199</v>
      </c>
      <c r="BB132" s="1">
        <v>0.3125</v>
      </c>
      <c r="BC132" s="1">
        <v>4.9817020000000003</v>
      </c>
      <c r="BD132" s="2">
        <v>34.264603168767998</v>
      </c>
      <c r="BE132" s="2">
        <f t="shared" ref="BE132:BE195" si="4">ABS(BD132-BD131)</f>
        <v>0.89152533869100381</v>
      </c>
      <c r="BF132" s="2">
        <f t="shared" ref="BF132:BF195" si="5">100*ABS(BD132-BD131)/BD131</f>
        <v>2.5359030602640185</v>
      </c>
      <c r="BG132">
        <v>195878039</v>
      </c>
      <c r="BH132" s="3">
        <v>18062074</v>
      </c>
      <c r="BI132">
        <v>10.157734711840975</v>
      </c>
      <c r="BJ132" s="3">
        <v>62090574</v>
      </c>
      <c r="BK132">
        <v>9334244</v>
      </c>
      <c r="BL132">
        <v>17.69312611396585</v>
      </c>
      <c r="BM132" s="3">
        <v>947.33090000000004</v>
      </c>
      <c r="BN132">
        <v>3582.7573000000002</v>
      </c>
      <c r="BO132">
        <v>79.088025261848102</v>
      </c>
      <c r="BP132">
        <v>48575778765.591202</v>
      </c>
      <c r="BQ132">
        <v>3222240615.9217987</v>
      </c>
      <c r="BR132">
        <v>7.1047171783780376</v>
      </c>
      <c r="BS132">
        <v>4.3897600000000002E-2</v>
      </c>
      <c r="BT132">
        <v>3.3818199999999998</v>
      </c>
      <c r="BU132">
        <v>3.4025331316651699</v>
      </c>
    </row>
    <row r="133" spans="1:73" x14ac:dyDescent="0.2">
      <c r="A133">
        <v>132</v>
      </c>
      <c r="B133" t="s">
        <v>71</v>
      </c>
      <c r="C133">
        <v>2011</v>
      </c>
      <c r="D133">
        <v>5</v>
      </c>
      <c r="E133">
        <v>0</v>
      </c>
      <c r="F133" t="s">
        <v>72</v>
      </c>
      <c r="G133">
        <v>0.69325000000000003</v>
      </c>
      <c r="H133">
        <v>0</v>
      </c>
      <c r="I133">
        <v>1.339</v>
      </c>
      <c r="J133">
        <v>0.83299999999999996</v>
      </c>
      <c r="K133">
        <v>2.5710000000000002</v>
      </c>
      <c r="L133">
        <v>2.028</v>
      </c>
      <c r="M133">
        <v>0.68300000000000005</v>
      </c>
      <c r="N133">
        <v>0.55400000000000005</v>
      </c>
      <c r="O133">
        <v>0.64500000000000002</v>
      </c>
      <c r="P133">
        <v>4.726</v>
      </c>
      <c r="Q133">
        <v>0</v>
      </c>
      <c r="R133">
        <v>11788</v>
      </c>
      <c r="S133">
        <v>5.9169999999999998</v>
      </c>
      <c r="T133">
        <v>3.42</v>
      </c>
      <c r="U133">
        <v>10.11</v>
      </c>
      <c r="V133">
        <v>53.5</v>
      </c>
      <c r="W133" t="s">
        <v>54</v>
      </c>
      <c r="X133" t="s">
        <v>55</v>
      </c>
      <c r="Y133" t="s">
        <v>59</v>
      </c>
      <c r="Z133">
        <v>0.52900000000000003</v>
      </c>
      <c r="AA133">
        <v>0.65400000000000003</v>
      </c>
      <c r="AB133">
        <v>165</v>
      </c>
      <c r="AC133">
        <v>5</v>
      </c>
      <c r="AD133">
        <v>62.860129999999998</v>
      </c>
      <c r="AE133">
        <v>-74.081999999999994</v>
      </c>
      <c r="AF133">
        <v>4.6098699999999999</v>
      </c>
      <c r="AG133" t="s">
        <v>57</v>
      </c>
      <c r="AH133" t="s">
        <v>58</v>
      </c>
      <c r="AI133">
        <v>5468.1949999999997</v>
      </c>
      <c r="AJ133">
        <v>6.9478920000000004</v>
      </c>
      <c r="AK133">
        <v>250000000000</v>
      </c>
      <c r="AL133">
        <v>34.959969999999998</v>
      </c>
      <c r="AM133">
        <v>62.860129999999998</v>
      </c>
      <c r="AN133">
        <v>-2.9063080000000001</v>
      </c>
      <c r="AO133">
        <v>50.1845</v>
      </c>
      <c r="AP133">
        <v>39.470419999999997</v>
      </c>
      <c r="AQ133">
        <v>4.372986</v>
      </c>
      <c r="AR133">
        <v>13.349259999999999</v>
      </c>
      <c r="AS133">
        <v>2.453233</v>
      </c>
      <c r="AT133">
        <v>1.229641</v>
      </c>
      <c r="AU133">
        <v>0.41602499999999998</v>
      </c>
      <c r="AV133">
        <v>1.229641</v>
      </c>
      <c r="AW133">
        <v>26.243500000000001</v>
      </c>
      <c r="AX133">
        <v>1.1499999999999999</v>
      </c>
      <c r="AY133">
        <v>3.1356201365729701</v>
      </c>
      <c r="AZ133" s="1">
        <v>0.18400000035762801</v>
      </c>
      <c r="BA133" s="1">
        <v>0.12849999964237199</v>
      </c>
      <c r="BB133" s="1">
        <v>0.3125</v>
      </c>
      <c r="BC133" s="1">
        <v>4.9817020000000003</v>
      </c>
      <c r="BD133" s="2">
        <v>39.470423554537</v>
      </c>
      <c r="BE133" s="2">
        <f t="shared" si="4"/>
        <v>5.2058203857690017</v>
      </c>
      <c r="BF133" s="2">
        <f t="shared" si="5"/>
        <v>15.192997742095784</v>
      </c>
      <c r="BG133">
        <v>232948268</v>
      </c>
      <c r="BH133" s="3">
        <v>37070229</v>
      </c>
      <c r="BI133">
        <v>18.925158322623396</v>
      </c>
      <c r="BJ133" s="3">
        <v>68792663</v>
      </c>
      <c r="BK133">
        <v>6702089</v>
      </c>
      <c r="BL133">
        <v>10.79405225018535</v>
      </c>
      <c r="BM133" s="3">
        <v>6227.2232000000004</v>
      </c>
      <c r="BN133">
        <v>5279.8923000000004</v>
      </c>
      <c r="BO133">
        <v>557.34403892029707</v>
      </c>
      <c r="BP133">
        <v>54507838031.914497</v>
      </c>
      <c r="BQ133">
        <v>5932059266.3232956</v>
      </c>
      <c r="BR133">
        <v>12.21196945693702</v>
      </c>
      <c r="BS133">
        <v>0.41098590000000002</v>
      </c>
      <c r="BT133">
        <v>2.5147110000000001</v>
      </c>
      <c r="BU133">
        <v>5.9172442642257597</v>
      </c>
    </row>
    <row r="134" spans="1:73" x14ac:dyDescent="0.2">
      <c r="A134">
        <v>133</v>
      </c>
      <c r="B134" t="s">
        <v>71</v>
      </c>
      <c r="C134">
        <v>2012</v>
      </c>
      <c r="D134">
        <v>5</v>
      </c>
      <c r="E134">
        <v>0</v>
      </c>
      <c r="F134" t="s">
        <v>72</v>
      </c>
      <c r="G134">
        <v>0.69325000000000003</v>
      </c>
      <c r="H134">
        <v>0</v>
      </c>
      <c r="I134">
        <v>1.339</v>
      </c>
      <c r="J134">
        <v>0.83299999999999996</v>
      </c>
      <c r="K134">
        <v>2.5710000000000002</v>
      </c>
      <c r="L134">
        <v>2.028</v>
      </c>
      <c r="M134">
        <v>0.68300000000000005</v>
      </c>
      <c r="N134">
        <v>0.55400000000000005</v>
      </c>
      <c r="O134">
        <v>0.64500000000000002</v>
      </c>
      <c r="P134">
        <v>4.726</v>
      </c>
      <c r="Q134">
        <v>0</v>
      </c>
      <c r="R134">
        <v>12123</v>
      </c>
      <c r="S134">
        <v>2.9809999999999999</v>
      </c>
      <c r="T134">
        <v>3.17</v>
      </c>
      <c r="U134">
        <v>9.74</v>
      </c>
      <c r="V134">
        <v>52.6</v>
      </c>
      <c r="W134" t="s">
        <v>54</v>
      </c>
      <c r="X134" t="s">
        <v>55</v>
      </c>
      <c r="Y134" t="s">
        <v>59</v>
      </c>
      <c r="Z134">
        <v>0.53</v>
      </c>
      <c r="AA134">
        <v>0.65400000000000003</v>
      </c>
      <c r="AB134">
        <v>165</v>
      </c>
      <c r="AC134">
        <v>5</v>
      </c>
      <c r="AD134">
        <v>65.227699999999999</v>
      </c>
      <c r="AE134">
        <v>-74.081999999999994</v>
      </c>
      <c r="AF134">
        <v>4.6098699999999999</v>
      </c>
      <c r="AG134" t="s">
        <v>57</v>
      </c>
      <c r="AH134" t="s">
        <v>58</v>
      </c>
      <c r="AI134">
        <v>5631.2169999999996</v>
      </c>
      <c r="AJ134">
        <v>3.912636</v>
      </c>
      <c r="AK134">
        <v>260000000000</v>
      </c>
      <c r="AL134">
        <v>37.74485</v>
      </c>
      <c r="AM134">
        <v>65.227699999999999</v>
      </c>
      <c r="AN134">
        <v>-3.1381320000000001</v>
      </c>
      <c r="AO134">
        <v>49.365270000000002</v>
      </c>
      <c r="AP134">
        <v>38.835149999999999</v>
      </c>
      <c r="AQ134">
        <v>4.0547630000000003</v>
      </c>
      <c r="AR134">
        <v>13.475479999999999</v>
      </c>
      <c r="AS134">
        <v>3.035256</v>
      </c>
      <c r="AT134">
        <v>1.153732</v>
      </c>
      <c r="AU134">
        <v>0.41602499999999998</v>
      </c>
      <c r="AV134">
        <v>1.153732</v>
      </c>
      <c r="AW134">
        <v>26.281880000000001</v>
      </c>
      <c r="AX134">
        <v>0.25</v>
      </c>
      <c r="AY134">
        <v>3.1356201365729701</v>
      </c>
      <c r="AZ134" s="1">
        <v>0.18400000035762801</v>
      </c>
      <c r="BA134" s="1">
        <v>0.12849999964237199</v>
      </c>
      <c r="BB134" s="1">
        <v>0.3125</v>
      </c>
      <c r="BC134" s="1">
        <v>4.9817020000000003</v>
      </c>
      <c r="BD134" s="2">
        <v>38.835151018669002</v>
      </c>
      <c r="BE134" s="2">
        <f t="shared" si="4"/>
        <v>0.63527253586799759</v>
      </c>
      <c r="BF134" s="2">
        <f t="shared" si="5"/>
        <v>1.6094900400301762</v>
      </c>
      <c r="BG134">
        <v>271354209</v>
      </c>
      <c r="BH134" s="3">
        <v>38405941</v>
      </c>
      <c r="BI134">
        <v>16.486896996375179</v>
      </c>
      <c r="BJ134" s="3">
        <v>73233978</v>
      </c>
      <c r="BK134">
        <v>4441315</v>
      </c>
      <c r="BL134">
        <v>6.4560882023130866</v>
      </c>
      <c r="BM134" s="3">
        <v>15646.1811</v>
      </c>
      <c r="BN134">
        <v>9418.9578999999994</v>
      </c>
      <c r="BO134">
        <v>151.25454151057247</v>
      </c>
      <c r="BP134">
        <v>56325203622.082901</v>
      </c>
      <c r="BQ134">
        <v>1817365590.1684036</v>
      </c>
      <c r="BR134">
        <v>3.3341362559717207</v>
      </c>
      <c r="BS134">
        <v>0.12621589999999999</v>
      </c>
      <c r="BT134">
        <v>2.9359709999999999</v>
      </c>
      <c r="BU134">
        <v>2.9812728733866201</v>
      </c>
    </row>
    <row r="135" spans="1:73" x14ac:dyDescent="0.2">
      <c r="A135">
        <v>134</v>
      </c>
      <c r="B135" t="s">
        <v>71</v>
      </c>
      <c r="C135">
        <v>2013</v>
      </c>
      <c r="D135">
        <v>5</v>
      </c>
      <c r="E135">
        <v>0</v>
      </c>
      <c r="F135" t="s">
        <v>72</v>
      </c>
      <c r="G135">
        <v>0.69325000000000003</v>
      </c>
      <c r="H135">
        <v>0</v>
      </c>
      <c r="I135">
        <v>1.339</v>
      </c>
      <c r="J135">
        <v>0.83299999999999996</v>
      </c>
      <c r="K135">
        <v>2.5710000000000002</v>
      </c>
      <c r="L135">
        <v>2.028</v>
      </c>
      <c r="M135">
        <v>0.68300000000000005</v>
      </c>
      <c r="N135">
        <v>0.55400000000000005</v>
      </c>
      <c r="O135">
        <v>0.64500000000000002</v>
      </c>
      <c r="P135">
        <v>4.0640000000000001</v>
      </c>
      <c r="Q135">
        <v>0</v>
      </c>
      <c r="R135">
        <v>12568</v>
      </c>
      <c r="S135">
        <v>4.1849999999999996</v>
      </c>
      <c r="T135">
        <v>2.02</v>
      </c>
      <c r="U135">
        <v>9.0500000000000007</v>
      </c>
      <c r="V135">
        <v>52.6</v>
      </c>
      <c r="W135" t="s">
        <v>54</v>
      </c>
      <c r="X135" t="s">
        <v>55</v>
      </c>
      <c r="Y135" t="s">
        <v>59</v>
      </c>
      <c r="Z135">
        <v>0.52800000000000002</v>
      </c>
      <c r="AA135">
        <v>0.65800000000000003</v>
      </c>
      <c r="AB135">
        <v>165</v>
      </c>
      <c r="AC135">
        <v>5</v>
      </c>
      <c r="AD135">
        <v>67.102909999999994</v>
      </c>
      <c r="AE135">
        <v>-74.081999999999994</v>
      </c>
      <c r="AF135">
        <v>4.6098699999999999</v>
      </c>
      <c r="AG135" t="s">
        <v>57</v>
      </c>
      <c r="AH135" t="s">
        <v>58</v>
      </c>
      <c r="AI135">
        <v>5866.8739999999998</v>
      </c>
      <c r="AJ135">
        <v>5.1339940000000004</v>
      </c>
      <c r="AK135">
        <v>273000000000</v>
      </c>
      <c r="AL135">
        <v>39.483690000000003</v>
      </c>
      <c r="AM135">
        <v>67.102909999999994</v>
      </c>
      <c r="AN135">
        <v>-3.2359610000000001</v>
      </c>
      <c r="AO135">
        <v>48.683680000000003</v>
      </c>
      <c r="AP135">
        <v>37.986649999999997</v>
      </c>
      <c r="AQ135">
        <v>4.2422760000000004</v>
      </c>
      <c r="AR135">
        <v>14.09732</v>
      </c>
      <c r="AS135">
        <v>1.2213579999999999</v>
      </c>
      <c r="AT135">
        <v>0.70309750000000004</v>
      </c>
      <c r="AU135">
        <v>0.41602499999999998</v>
      </c>
      <c r="AV135">
        <v>0.70309750000000004</v>
      </c>
      <c r="AW135">
        <v>26.331939999999999</v>
      </c>
      <c r="AX135">
        <v>1.1499999999999999</v>
      </c>
      <c r="AY135">
        <v>3.1356201365729701</v>
      </c>
      <c r="AZ135" s="1">
        <v>0.18400000035762801</v>
      </c>
      <c r="BA135" s="1">
        <v>0.12849999964237199</v>
      </c>
      <c r="BB135" s="1">
        <v>0.3125</v>
      </c>
      <c r="BC135" s="1">
        <v>4.9817020000000003</v>
      </c>
      <c r="BD135" s="2">
        <v>37.986648797846001</v>
      </c>
      <c r="BE135" s="2">
        <f t="shared" si="4"/>
        <v>0.84850222082300064</v>
      </c>
      <c r="BF135" s="2">
        <f t="shared" si="5"/>
        <v>2.1848819910990045</v>
      </c>
      <c r="BG135">
        <v>311178537</v>
      </c>
      <c r="BH135" s="3">
        <v>39824328</v>
      </c>
      <c r="BI135">
        <v>14.676141618278713</v>
      </c>
      <c r="BJ135" s="3">
        <v>83788541</v>
      </c>
      <c r="BK135">
        <v>10554563</v>
      </c>
      <c r="BL135">
        <v>14.412112093651393</v>
      </c>
      <c r="BM135" s="3">
        <v>8558.3384000000005</v>
      </c>
      <c r="BN135">
        <v>7087.8426999999992</v>
      </c>
      <c r="BO135">
        <v>45.300783972134894</v>
      </c>
      <c r="BP135">
        <v>61101486939.129997</v>
      </c>
      <c r="BQ135">
        <v>4776283317.0470963</v>
      </c>
      <c r="BR135">
        <v>8.4798332005931751</v>
      </c>
      <c r="BS135">
        <v>0.62184620000000002</v>
      </c>
      <c r="BT135">
        <v>1.203549</v>
      </c>
      <c r="BU135">
        <v>4.1848218971708597</v>
      </c>
    </row>
    <row r="136" spans="1:73" x14ac:dyDescent="0.2">
      <c r="A136">
        <v>135</v>
      </c>
      <c r="B136" t="s">
        <v>71</v>
      </c>
      <c r="C136">
        <v>2014</v>
      </c>
      <c r="D136">
        <v>5</v>
      </c>
      <c r="E136">
        <v>1</v>
      </c>
      <c r="F136" t="s">
        <v>72</v>
      </c>
      <c r="G136">
        <v>0.69325000000000003</v>
      </c>
      <c r="H136">
        <v>0</v>
      </c>
      <c r="I136">
        <v>0.52</v>
      </c>
      <c r="J136">
        <v>0.64500000000000002</v>
      </c>
      <c r="K136">
        <v>1.603</v>
      </c>
      <c r="L136">
        <v>1.7849999999999999</v>
      </c>
      <c r="M136">
        <v>0.51500000000000001</v>
      </c>
      <c r="N136">
        <v>0.65100000000000002</v>
      </c>
      <c r="O136">
        <v>0.89</v>
      </c>
      <c r="P136">
        <v>4.0640000000000001</v>
      </c>
      <c r="Q136">
        <v>1</v>
      </c>
      <c r="R136">
        <v>12972</v>
      </c>
      <c r="S136">
        <v>3.448</v>
      </c>
      <c r="T136">
        <v>2.9</v>
      </c>
      <c r="U136">
        <v>8.57</v>
      </c>
      <c r="V136">
        <v>52.6</v>
      </c>
      <c r="W136" t="s">
        <v>54</v>
      </c>
      <c r="X136" t="s">
        <v>55</v>
      </c>
      <c r="Y136" t="s">
        <v>59</v>
      </c>
      <c r="Z136">
        <v>0.53500000000000003</v>
      </c>
      <c r="AA136">
        <v>0.66900000000000004</v>
      </c>
      <c r="AB136">
        <v>166</v>
      </c>
      <c r="AC136">
        <v>5</v>
      </c>
      <c r="AD136">
        <v>79.683059999999998</v>
      </c>
      <c r="AE136">
        <v>-74.081999999999994</v>
      </c>
      <c r="AF136">
        <v>4.6098699999999999</v>
      </c>
      <c r="AG136" t="s">
        <v>57</v>
      </c>
      <c r="AH136" t="s">
        <v>58</v>
      </c>
      <c r="AI136">
        <v>6069.1869999999999</v>
      </c>
      <c r="AJ136">
        <v>4.4990300000000003</v>
      </c>
      <c r="AK136">
        <v>285000000000</v>
      </c>
      <c r="AL136">
        <v>42.384610000000002</v>
      </c>
      <c r="AM136">
        <v>79.683059999999998</v>
      </c>
      <c r="AN136">
        <v>-5.2001869999999997</v>
      </c>
      <c r="AO136">
        <v>48.081130000000002</v>
      </c>
      <c r="AP136">
        <v>37.487459999999999</v>
      </c>
      <c r="AQ136">
        <v>4.2425050000000004</v>
      </c>
      <c r="AR136">
        <v>14.24375</v>
      </c>
      <c r="AS136">
        <v>0.63496350000000001</v>
      </c>
      <c r="AT136">
        <v>1.064711</v>
      </c>
      <c r="AU136">
        <v>0.79210000000000003</v>
      </c>
      <c r="AV136">
        <v>1.064711</v>
      </c>
      <c r="AW136">
        <v>26.37595</v>
      </c>
      <c r="AX136">
        <v>0.88000009999999995</v>
      </c>
      <c r="AY136">
        <v>3.3301572177227299</v>
      </c>
      <c r="AZ136" s="1">
        <v>0.355000019073486</v>
      </c>
      <c r="BA136" s="1">
        <v>6.3000001013279003E-2</v>
      </c>
      <c r="BB136" s="1">
        <v>0.41800001263618503</v>
      </c>
      <c r="BC136" s="1">
        <v>6.3405433000000002</v>
      </c>
      <c r="BD136" s="2">
        <v>37.487465641109999</v>
      </c>
      <c r="BE136" s="2">
        <f t="shared" si="4"/>
        <v>0.49918315673600233</v>
      </c>
      <c r="BF136" s="2">
        <f t="shared" si="5"/>
        <v>1.3141015923581763</v>
      </c>
      <c r="BG136">
        <v>339464652</v>
      </c>
      <c r="BH136" s="3">
        <v>28286115</v>
      </c>
      <c r="BI136">
        <v>9.0899954967009826</v>
      </c>
      <c r="BJ136" s="3">
        <v>93606013</v>
      </c>
      <c r="BK136">
        <v>9817472</v>
      </c>
      <c r="BL136">
        <v>11.716962585611796</v>
      </c>
      <c r="BM136" s="3">
        <v>12269.760200000001</v>
      </c>
      <c r="BN136">
        <v>3711.4218000000001</v>
      </c>
      <c r="BO136">
        <v>43.366149204850323</v>
      </c>
      <c r="BP136">
        <v>66726822452.426697</v>
      </c>
      <c r="BQ136">
        <v>5625335513.2966995</v>
      </c>
      <c r="BR136">
        <v>9.2065443823007502</v>
      </c>
      <c r="BS136">
        <v>0.14642720000000001</v>
      </c>
      <c r="BT136">
        <v>0.73642680000000005</v>
      </c>
      <c r="BU136">
        <v>3.4483952319143798</v>
      </c>
    </row>
    <row r="137" spans="1:73" x14ac:dyDescent="0.2">
      <c r="A137">
        <v>136</v>
      </c>
      <c r="B137" t="s">
        <v>71</v>
      </c>
      <c r="C137">
        <v>2015</v>
      </c>
      <c r="D137">
        <v>5</v>
      </c>
      <c r="E137">
        <v>0</v>
      </c>
      <c r="F137" t="s">
        <v>72</v>
      </c>
      <c r="G137">
        <v>0.69325000000000003</v>
      </c>
      <c r="H137">
        <v>0</v>
      </c>
      <c r="I137">
        <v>0.52</v>
      </c>
      <c r="J137">
        <v>0.64500000000000002</v>
      </c>
      <c r="K137">
        <v>1.603</v>
      </c>
      <c r="L137">
        <v>1.7849999999999999</v>
      </c>
      <c r="M137">
        <v>0.51500000000000001</v>
      </c>
      <c r="N137">
        <v>0.65100000000000002</v>
      </c>
      <c r="O137">
        <v>0.89</v>
      </c>
      <c r="P137">
        <v>5.125</v>
      </c>
      <c r="Q137">
        <v>0</v>
      </c>
      <c r="R137">
        <v>13218</v>
      </c>
      <c r="S137">
        <v>1.758</v>
      </c>
      <c r="T137">
        <v>4.99</v>
      </c>
      <c r="U137">
        <v>8.3000000000000007</v>
      </c>
      <c r="V137">
        <v>51</v>
      </c>
      <c r="W137" t="s">
        <v>54</v>
      </c>
      <c r="X137" t="s">
        <v>55</v>
      </c>
      <c r="Y137" t="s">
        <v>59</v>
      </c>
      <c r="Z137">
        <v>0.53500000000000003</v>
      </c>
      <c r="AA137">
        <v>0.67</v>
      </c>
      <c r="AB137">
        <v>166</v>
      </c>
      <c r="AC137">
        <v>5</v>
      </c>
      <c r="AD137">
        <v>66.667820000000006</v>
      </c>
      <c r="AE137">
        <v>-74.081999999999994</v>
      </c>
      <c r="AF137">
        <v>4.6098699999999999</v>
      </c>
      <c r="AG137" t="s">
        <v>57</v>
      </c>
      <c r="AH137" t="s">
        <v>58</v>
      </c>
      <c r="AI137">
        <v>6175.8760000000002</v>
      </c>
      <c r="AJ137">
        <v>2.9559009999999999</v>
      </c>
      <c r="AK137">
        <v>294000000000</v>
      </c>
      <c r="AL137">
        <v>46.905389999999997</v>
      </c>
      <c r="AM137">
        <v>66.667820000000006</v>
      </c>
      <c r="AN137">
        <v>-6.3725350000000001</v>
      </c>
      <c r="AO137">
        <v>47.545639999999999</v>
      </c>
      <c r="AP137">
        <v>38.360759999999999</v>
      </c>
      <c r="AQ137">
        <v>3.9595419999999999</v>
      </c>
      <c r="AR137">
        <v>14.811629999999999</v>
      </c>
      <c r="AS137">
        <v>1.543129</v>
      </c>
      <c r="AT137">
        <v>1.6074360000000001</v>
      </c>
      <c r="AU137">
        <v>0.79210000000000003</v>
      </c>
      <c r="AV137">
        <v>1.6074360000000001</v>
      </c>
      <c r="AW137">
        <v>26.405080000000002</v>
      </c>
      <c r="AX137">
        <v>2.09</v>
      </c>
      <c r="AY137">
        <v>3.3301572177227299</v>
      </c>
      <c r="AZ137" s="1">
        <v>0.355000019073486</v>
      </c>
      <c r="BA137" s="1">
        <v>6.3000001013279003E-2</v>
      </c>
      <c r="BB137" s="1">
        <v>0.41800001263618503</v>
      </c>
      <c r="BC137" s="1">
        <v>6.3405433000000002</v>
      </c>
      <c r="BD137" s="2">
        <v>38.360764118444997</v>
      </c>
      <c r="BE137" s="2">
        <f t="shared" si="4"/>
        <v>0.87329847733499832</v>
      </c>
      <c r="BF137" s="2">
        <f t="shared" si="5"/>
        <v>2.3295745988688821</v>
      </c>
      <c r="BG137">
        <v>381850815</v>
      </c>
      <c r="BH137" s="3">
        <v>42386163</v>
      </c>
      <c r="BI137">
        <v>12.486178678774484</v>
      </c>
      <c r="BJ137" s="3">
        <v>103369319</v>
      </c>
      <c r="BK137">
        <v>9763306</v>
      </c>
      <c r="BL137">
        <v>10.430212426631183</v>
      </c>
      <c r="BM137" s="3">
        <v>7402.7961999999998</v>
      </c>
      <c r="BN137">
        <v>4866.9640000000009</v>
      </c>
      <c r="BO137">
        <v>39.666333495254463</v>
      </c>
      <c r="BP137">
        <v>68600718579.716599</v>
      </c>
      <c r="BQ137">
        <v>1873896127.2899017</v>
      </c>
      <c r="BR137">
        <v>2.8083101493794458</v>
      </c>
      <c r="BS137">
        <v>0.56787969999999999</v>
      </c>
      <c r="BT137">
        <v>1.690512</v>
      </c>
      <c r="BU137">
        <v>1.7578837173923201</v>
      </c>
    </row>
    <row r="138" spans="1:73" x14ac:dyDescent="0.2">
      <c r="A138">
        <v>137</v>
      </c>
      <c r="B138" t="s">
        <v>71</v>
      </c>
      <c r="C138">
        <v>2016</v>
      </c>
      <c r="D138">
        <v>5</v>
      </c>
      <c r="E138">
        <v>0</v>
      </c>
      <c r="F138" t="s">
        <v>72</v>
      </c>
      <c r="G138">
        <v>0.69325000000000003</v>
      </c>
      <c r="H138">
        <v>0</v>
      </c>
      <c r="I138">
        <v>0.52</v>
      </c>
      <c r="J138">
        <v>0.64500000000000002</v>
      </c>
      <c r="K138">
        <v>1.603</v>
      </c>
      <c r="L138">
        <v>1.7849999999999999</v>
      </c>
      <c r="M138">
        <v>0.51500000000000001</v>
      </c>
      <c r="N138">
        <v>0.65100000000000002</v>
      </c>
      <c r="O138">
        <v>0.89</v>
      </c>
      <c r="P138">
        <v>5.1559999999999997</v>
      </c>
      <c r="Q138">
        <v>0</v>
      </c>
      <c r="R138">
        <v>13326</v>
      </c>
      <c r="S138">
        <v>0.70099999999999996</v>
      </c>
      <c r="T138">
        <v>7.51</v>
      </c>
      <c r="U138">
        <v>8.69</v>
      </c>
      <c r="V138">
        <v>50.6</v>
      </c>
      <c r="W138" t="s">
        <v>54</v>
      </c>
      <c r="X138" t="s">
        <v>55</v>
      </c>
      <c r="Y138" t="s">
        <v>59</v>
      </c>
      <c r="Z138">
        <v>0.53</v>
      </c>
      <c r="AA138">
        <v>0.66600000000000004</v>
      </c>
      <c r="AB138">
        <v>166</v>
      </c>
      <c r="AC138">
        <v>5</v>
      </c>
      <c r="AD138">
        <v>57.405650000000001</v>
      </c>
      <c r="AE138">
        <v>-74.081999999999994</v>
      </c>
      <c r="AF138">
        <v>4.6098699999999999</v>
      </c>
      <c r="AG138" t="s">
        <v>57</v>
      </c>
      <c r="AH138" t="s">
        <v>58</v>
      </c>
      <c r="AI138">
        <v>6219.15</v>
      </c>
      <c r="AJ138">
        <v>2.087383</v>
      </c>
      <c r="AK138">
        <v>300000000000</v>
      </c>
      <c r="AL138">
        <v>47.054200000000002</v>
      </c>
      <c r="AM138">
        <v>57.405650000000001</v>
      </c>
      <c r="AN138">
        <v>-4.4502990000000002</v>
      </c>
      <c r="AO138">
        <v>47.020020000000002</v>
      </c>
      <c r="AP138">
        <v>36.202649999999998</v>
      </c>
      <c r="AQ138">
        <v>4.8998270000000002</v>
      </c>
      <c r="AR138">
        <v>14.54128</v>
      </c>
      <c r="AS138">
        <v>0.86851880000000004</v>
      </c>
      <c r="AT138">
        <v>2.0162360000000001</v>
      </c>
      <c r="AU138">
        <v>0.79210000000000003</v>
      </c>
      <c r="AV138">
        <v>2.0162360000000001</v>
      </c>
      <c r="AW138">
        <v>26.425740000000001</v>
      </c>
      <c r="AX138">
        <v>2.52</v>
      </c>
      <c r="AY138">
        <v>3.3301572177227299</v>
      </c>
      <c r="AZ138" s="1">
        <v>0.355000019073486</v>
      </c>
      <c r="BA138" s="1">
        <v>6.3000001013279003E-2</v>
      </c>
      <c r="BB138" s="1">
        <v>0.41800001263618503</v>
      </c>
      <c r="BC138" s="1">
        <v>6.3405433000000002</v>
      </c>
      <c r="BD138" s="2">
        <v>36.202652984201997</v>
      </c>
      <c r="BE138" s="2">
        <f t="shared" si="4"/>
        <v>2.1581111342430006</v>
      </c>
      <c r="BF138" s="2">
        <f t="shared" si="5"/>
        <v>5.6258293697682538</v>
      </c>
      <c r="BG138">
        <v>408241844</v>
      </c>
      <c r="BH138" s="3">
        <v>26391029</v>
      </c>
      <c r="BI138">
        <v>6.9113454687794764</v>
      </c>
      <c r="BJ138" s="3">
        <v>102042833</v>
      </c>
      <c r="BK138">
        <v>1326486</v>
      </c>
      <c r="BL138">
        <v>1.28324923955434</v>
      </c>
      <c r="BM138" s="3">
        <v>9340.5858000000007</v>
      </c>
      <c r="BN138">
        <v>1937.789600000001</v>
      </c>
      <c r="BO138">
        <v>26.176454783396593</v>
      </c>
      <c r="BP138">
        <v>66618137935.8965</v>
      </c>
      <c r="BQ138">
        <v>1982580643.8200989</v>
      </c>
      <c r="BR138">
        <v>2.890028974720237</v>
      </c>
      <c r="BS138">
        <v>0.27034570000000002</v>
      </c>
      <c r="BT138">
        <v>1.0571950000000001</v>
      </c>
      <c r="BU138">
        <v>0.70068863785021995</v>
      </c>
    </row>
    <row r="139" spans="1:73" x14ac:dyDescent="0.2">
      <c r="A139">
        <v>138</v>
      </c>
      <c r="B139" t="s">
        <v>71</v>
      </c>
      <c r="C139">
        <v>2017</v>
      </c>
      <c r="D139">
        <v>5</v>
      </c>
      <c r="E139">
        <v>0</v>
      </c>
      <c r="F139" t="s">
        <v>72</v>
      </c>
      <c r="G139">
        <v>0.69325000000000003</v>
      </c>
      <c r="H139">
        <v>0</v>
      </c>
      <c r="I139">
        <v>0.52</v>
      </c>
      <c r="J139">
        <v>0.64500000000000002</v>
      </c>
      <c r="K139">
        <v>1.603</v>
      </c>
      <c r="L139">
        <v>1.7849999999999999</v>
      </c>
      <c r="M139">
        <v>0.51500000000000001</v>
      </c>
      <c r="N139">
        <v>0.65100000000000002</v>
      </c>
      <c r="O139">
        <v>0.89</v>
      </c>
      <c r="P139">
        <v>4.9939999999999998</v>
      </c>
      <c r="Q139">
        <v>0</v>
      </c>
      <c r="R139">
        <v>13358</v>
      </c>
      <c r="S139">
        <v>-0.16300000000000001</v>
      </c>
      <c r="T139">
        <v>4.3099999999999996</v>
      </c>
      <c r="U139">
        <v>8.8699999999999992</v>
      </c>
      <c r="V139">
        <v>49.7</v>
      </c>
      <c r="W139" t="s">
        <v>54</v>
      </c>
      <c r="X139" t="s">
        <v>55</v>
      </c>
      <c r="Y139" t="s">
        <v>59</v>
      </c>
      <c r="Z139">
        <v>0.52700000000000002</v>
      </c>
      <c r="AA139">
        <v>0.66</v>
      </c>
      <c r="AB139">
        <v>166</v>
      </c>
      <c r="AC139">
        <v>5</v>
      </c>
      <c r="AE139">
        <v>-74.081999999999994</v>
      </c>
      <c r="AF139">
        <v>4.6098699999999999</v>
      </c>
      <c r="AG139" t="s">
        <v>57</v>
      </c>
      <c r="AH139" t="s">
        <v>58</v>
      </c>
      <c r="AI139">
        <v>6208.9870000000001</v>
      </c>
      <c r="AJ139">
        <v>1.359361</v>
      </c>
      <c r="AK139">
        <v>304000000000</v>
      </c>
      <c r="AL139">
        <v>49.805419999999998</v>
      </c>
      <c r="AN139">
        <v>-3.18207</v>
      </c>
      <c r="AO139">
        <v>46.533029999999997</v>
      </c>
      <c r="AP139">
        <v>35.282910000000001</v>
      </c>
      <c r="AQ139">
        <v>4.3929450000000001</v>
      </c>
      <c r="AR139">
        <v>14.88064</v>
      </c>
      <c r="AS139">
        <v>0.72802169999999999</v>
      </c>
      <c r="AT139">
        <v>1.4609380000000001</v>
      </c>
      <c r="AU139">
        <v>0.79210000000000003</v>
      </c>
      <c r="AV139">
        <v>1.4609380000000001</v>
      </c>
      <c r="AW139">
        <v>26.439240000000002</v>
      </c>
      <c r="AX139">
        <v>3.2</v>
      </c>
      <c r="AY139">
        <v>3.3301572177227299</v>
      </c>
      <c r="AZ139" s="1">
        <v>0.355000019073486</v>
      </c>
      <c r="BA139" s="1">
        <v>6.3000001013279003E-2</v>
      </c>
      <c r="BB139" s="1">
        <v>0.41800001263618503</v>
      </c>
      <c r="BC139" s="1" t="s">
        <v>101</v>
      </c>
      <c r="BD139" s="2">
        <v>35.282914942459001</v>
      </c>
      <c r="BE139" s="2">
        <f t="shared" si="4"/>
        <v>0.91973804174299545</v>
      </c>
      <c r="BF139" s="2">
        <f t="shared" si="5"/>
        <v>2.5405266352837401</v>
      </c>
      <c r="BG139">
        <v>437122975</v>
      </c>
      <c r="BH139" s="3">
        <v>28881131</v>
      </c>
      <c r="BI139">
        <v>7.074515124912085</v>
      </c>
      <c r="BJ139" s="3">
        <v>108538743</v>
      </c>
      <c r="BK139">
        <v>6495910</v>
      </c>
      <c r="BL139">
        <v>6.3658659888441163</v>
      </c>
      <c r="BM139" s="3">
        <v>10011.3164</v>
      </c>
      <c r="BN139">
        <v>670.73059999999896</v>
      </c>
      <c r="BO139">
        <v>7.1808194299762107</v>
      </c>
      <c r="BP139">
        <v>67853421350.2855</v>
      </c>
      <c r="BQ139">
        <v>1235283414.3889999</v>
      </c>
      <c r="BR139">
        <v>1.8542749056985877</v>
      </c>
      <c r="BS139">
        <v>0.3393583</v>
      </c>
      <c r="BT139">
        <v>0.86409800000000003</v>
      </c>
      <c r="BU139">
        <v>-0.163409332080448</v>
      </c>
    </row>
    <row r="140" spans="1:73" x14ac:dyDescent="0.2">
      <c r="A140">
        <v>139</v>
      </c>
      <c r="B140" t="s">
        <v>71</v>
      </c>
      <c r="C140">
        <v>2018</v>
      </c>
      <c r="D140">
        <v>5</v>
      </c>
      <c r="E140">
        <v>1</v>
      </c>
      <c r="F140" t="s">
        <v>72</v>
      </c>
      <c r="G140">
        <v>0.69325000000000003</v>
      </c>
      <c r="H140">
        <v>0</v>
      </c>
      <c r="I140">
        <v>1.02</v>
      </c>
      <c r="J140">
        <v>1.151</v>
      </c>
      <c r="K140">
        <v>2.2450000000000001</v>
      </c>
      <c r="L140">
        <v>2.3839999999999999</v>
      </c>
      <c r="M140">
        <v>0.76600000000000001</v>
      </c>
      <c r="N140">
        <v>0.80100000000000005</v>
      </c>
      <c r="O140">
        <v>1.115</v>
      </c>
      <c r="P140">
        <v>5.3959999999999999</v>
      </c>
      <c r="Q140">
        <v>1</v>
      </c>
      <c r="R140">
        <v>13545.1</v>
      </c>
      <c r="S140">
        <v>0.96499999999999997</v>
      </c>
      <c r="T140">
        <v>3.24</v>
      </c>
      <c r="U140">
        <v>9.11</v>
      </c>
      <c r="V140">
        <v>50.4</v>
      </c>
      <c r="W140" t="s">
        <v>54</v>
      </c>
      <c r="X140" t="s">
        <v>55</v>
      </c>
      <c r="Y140" t="s">
        <v>59</v>
      </c>
      <c r="Z140">
        <v>0.51</v>
      </c>
      <c r="AA140">
        <v>0.64900000000000002</v>
      </c>
      <c r="AB140">
        <v>166</v>
      </c>
      <c r="AC140">
        <v>5</v>
      </c>
      <c r="AE140">
        <v>-74.081999999999994</v>
      </c>
      <c r="AF140">
        <v>4.6098699999999999</v>
      </c>
      <c r="AG140" t="s">
        <v>57</v>
      </c>
      <c r="AH140" t="s">
        <v>58</v>
      </c>
      <c r="AI140">
        <v>6271.875</v>
      </c>
      <c r="AJ140">
        <v>2.564324</v>
      </c>
      <c r="AK140">
        <v>312000000000</v>
      </c>
      <c r="AL140">
        <v>49.567320000000002</v>
      </c>
      <c r="AN140">
        <v>-4.201384</v>
      </c>
      <c r="AO140">
        <v>46.10472</v>
      </c>
      <c r="AP140">
        <v>36.534750000000003</v>
      </c>
      <c r="AQ140">
        <v>3.380836</v>
      </c>
      <c r="AR140">
        <v>15.421480000000001</v>
      </c>
      <c r="AS140">
        <v>1.2049639999999999</v>
      </c>
      <c r="AT140">
        <v>1.175573</v>
      </c>
      <c r="AU140">
        <v>1.243225</v>
      </c>
      <c r="AV140">
        <v>1.175573</v>
      </c>
      <c r="AW140">
        <v>26.464559999999999</v>
      </c>
      <c r="AX140">
        <v>1.07</v>
      </c>
      <c r="AY140">
        <v>3.5088137208194401</v>
      </c>
      <c r="AZ140" s="1" t="s">
        <v>101</v>
      </c>
      <c r="BA140" s="1" t="s">
        <v>101</v>
      </c>
      <c r="BB140" s="1" t="s">
        <v>101</v>
      </c>
      <c r="BC140" s="1" t="s">
        <v>101</v>
      </c>
      <c r="BD140" s="2">
        <v>36.534752796897003</v>
      </c>
      <c r="BE140" s="2">
        <f t="shared" si="4"/>
        <v>1.2518378544380013</v>
      </c>
      <c r="BF140" s="2">
        <f t="shared" si="5"/>
        <v>3.5480000914877809</v>
      </c>
      <c r="BG140">
        <v>459008577</v>
      </c>
      <c r="BH140" s="3">
        <v>21885602</v>
      </c>
      <c r="BI140">
        <v>5.0067379780255203</v>
      </c>
      <c r="BJ140" s="3">
        <v>116395819</v>
      </c>
      <c r="BK140">
        <v>7857076</v>
      </c>
      <c r="BL140">
        <v>7.2389598246959617</v>
      </c>
      <c r="BM140" s="3">
        <v>6172.375</v>
      </c>
      <c r="BN140">
        <v>3838.9413999999997</v>
      </c>
      <c r="BO140">
        <v>38.346020109802936</v>
      </c>
      <c r="BP140">
        <v>68556953002.590302</v>
      </c>
      <c r="BQ140">
        <v>703531652.30480194</v>
      </c>
      <c r="BR140">
        <v>1.0368403513109539</v>
      </c>
      <c r="BS140">
        <v>0.54083820000000005</v>
      </c>
      <c r="BT140">
        <v>1.1762649999999999</v>
      </c>
      <c r="BU140">
        <v>1.0128560422886601</v>
      </c>
    </row>
    <row r="141" spans="1:73" x14ac:dyDescent="0.2">
      <c r="A141">
        <v>140</v>
      </c>
      <c r="B141" t="s">
        <v>71</v>
      </c>
      <c r="C141">
        <v>2019</v>
      </c>
      <c r="D141">
        <v>5</v>
      </c>
      <c r="E141">
        <v>0</v>
      </c>
      <c r="F141" t="s">
        <v>72</v>
      </c>
      <c r="G141">
        <v>0.69325000000000003</v>
      </c>
      <c r="H141">
        <v>0</v>
      </c>
      <c r="I141">
        <v>1.02</v>
      </c>
      <c r="J141">
        <v>1.151</v>
      </c>
      <c r="K141">
        <v>2.2450000000000001</v>
      </c>
      <c r="L141">
        <v>2.3839999999999999</v>
      </c>
      <c r="M141">
        <v>0.76600000000000001</v>
      </c>
      <c r="N141">
        <v>0.80100000000000005</v>
      </c>
      <c r="O141">
        <v>1.115</v>
      </c>
      <c r="P141">
        <v>5.3959999999999999</v>
      </c>
      <c r="Q141">
        <v>0</v>
      </c>
      <c r="S141">
        <v>1.869</v>
      </c>
      <c r="T141">
        <v>3.53</v>
      </c>
      <c r="U141">
        <v>9.9600000000000009</v>
      </c>
      <c r="V141">
        <v>51.3</v>
      </c>
      <c r="W141" t="s">
        <v>54</v>
      </c>
      <c r="X141" t="s">
        <v>55</v>
      </c>
      <c r="Y141" t="s">
        <v>59</v>
      </c>
      <c r="Z141">
        <v>0.47699999999999998</v>
      </c>
      <c r="AA141">
        <v>0.628</v>
      </c>
      <c r="AB141">
        <v>166</v>
      </c>
      <c r="AC141">
        <v>5</v>
      </c>
      <c r="AE141">
        <v>-74.081999999999994</v>
      </c>
      <c r="AF141">
        <v>4.6098699999999999</v>
      </c>
      <c r="AG141" t="s">
        <v>57</v>
      </c>
      <c r="AH141" t="s">
        <v>58</v>
      </c>
      <c r="AI141">
        <v>6384.5360000000001</v>
      </c>
      <c r="AJ141">
        <v>3.186855</v>
      </c>
      <c r="AK141">
        <v>321000000000</v>
      </c>
      <c r="AL141">
        <v>51.555169999999997</v>
      </c>
      <c r="AN141">
        <v>-4.5828499999999996</v>
      </c>
      <c r="AO141">
        <v>45.744160000000001</v>
      </c>
      <c r="AP141">
        <v>37.558529999999998</v>
      </c>
      <c r="AQ141">
        <v>4.3295389999999996</v>
      </c>
      <c r="AR141">
        <v>15.77323</v>
      </c>
      <c r="AS141">
        <v>0.6225309</v>
      </c>
      <c r="AT141">
        <v>1.261298</v>
      </c>
      <c r="AU141">
        <v>1.243225</v>
      </c>
      <c r="AV141">
        <v>1.261298</v>
      </c>
      <c r="AW141">
        <v>26.495930000000001</v>
      </c>
      <c r="AX141">
        <v>0.28999999999999998</v>
      </c>
      <c r="AY141">
        <v>3.5088137208194401</v>
      </c>
      <c r="AZ141" s="1" t="s">
        <v>101</v>
      </c>
      <c r="BA141" s="1" t="s">
        <v>101</v>
      </c>
      <c r="BB141" s="1" t="s">
        <v>101</v>
      </c>
      <c r="BC141" s="1" t="s">
        <v>101</v>
      </c>
      <c r="BD141" s="2">
        <v>37.558533980839002</v>
      </c>
      <c r="BE141" s="2">
        <f t="shared" si="4"/>
        <v>1.023781183941999</v>
      </c>
      <c r="BF141" s="2">
        <f t="shared" si="5"/>
        <v>2.8022118820219624</v>
      </c>
      <c r="BG141">
        <v>498840465</v>
      </c>
      <c r="BH141" s="3">
        <v>39831888</v>
      </c>
      <c r="BI141">
        <v>8.6778090859073416</v>
      </c>
      <c r="BJ141" s="3">
        <v>127881573</v>
      </c>
      <c r="BK141">
        <v>11485754</v>
      </c>
      <c r="BL141">
        <v>9.8678406996732413</v>
      </c>
      <c r="BM141" s="3">
        <v>10835.6576</v>
      </c>
      <c r="BN141">
        <v>4663.2826000000005</v>
      </c>
      <c r="BO141">
        <v>75.55086332246502</v>
      </c>
      <c r="BP141">
        <v>70090207054.580704</v>
      </c>
      <c r="BQ141">
        <v>1533254051.9904022</v>
      </c>
      <c r="BR141">
        <v>2.2364676153744334</v>
      </c>
      <c r="BS141">
        <v>0.35175230000000002</v>
      </c>
      <c r="BT141">
        <v>0.7834274</v>
      </c>
      <c r="BU141">
        <v>1.7962833658812201</v>
      </c>
    </row>
    <row r="142" spans="1:73" x14ac:dyDescent="0.2">
      <c r="A142">
        <v>141</v>
      </c>
      <c r="B142" t="s">
        <v>73</v>
      </c>
      <c r="C142">
        <v>1992</v>
      </c>
      <c r="D142">
        <v>6</v>
      </c>
      <c r="E142">
        <v>0</v>
      </c>
      <c r="F142" t="s">
        <v>74</v>
      </c>
      <c r="G142">
        <v>0.47399999999999998</v>
      </c>
      <c r="H142">
        <v>0</v>
      </c>
      <c r="O142">
        <v>-1.141</v>
      </c>
      <c r="Q142">
        <v>0</v>
      </c>
      <c r="R142">
        <v>8038.8</v>
      </c>
      <c r="S142">
        <v>6.391</v>
      </c>
      <c r="T142">
        <v>21.79</v>
      </c>
      <c r="U142">
        <v>3.93</v>
      </c>
      <c r="V142">
        <v>45.7</v>
      </c>
      <c r="W142" t="s">
        <v>54</v>
      </c>
      <c r="X142" t="s">
        <v>55</v>
      </c>
      <c r="Y142" t="s">
        <v>59</v>
      </c>
      <c r="Z142">
        <v>0.84499999999999997</v>
      </c>
      <c r="AA142">
        <v>0.89700000000000002</v>
      </c>
      <c r="AB142">
        <v>166</v>
      </c>
      <c r="AC142">
        <v>8.1</v>
      </c>
      <c r="AE142">
        <v>-84.008899999999997</v>
      </c>
      <c r="AF142">
        <v>9.6370100000000001</v>
      </c>
      <c r="AG142" t="s">
        <v>57</v>
      </c>
      <c r="AH142" t="s">
        <v>58</v>
      </c>
      <c r="AI142">
        <v>6403.7849999999999</v>
      </c>
      <c r="AJ142">
        <v>9.2011040000000008</v>
      </c>
      <c r="AK142">
        <v>21100000000</v>
      </c>
      <c r="AN142">
        <v>-4.3250590000000004</v>
      </c>
      <c r="AO142">
        <v>66.740399999999994</v>
      </c>
      <c r="AP142">
        <v>76.096239999999995</v>
      </c>
      <c r="AQ142">
        <v>2.6389399999999998</v>
      </c>
      <c r="AR142">
        <v>12.11003</v>
      </c>
      <c r="AT142">
        <v>3.0814509999999999</v>
      </c>
      <c r="AU142">
        <v>1.3018810000000001</v>
      </c>
      <c r="AV142">
        <v>3.0814509999999999</v>
      </c>
      <c r="AW142">
        <v>23.76999</v>
      </c>
      <c r="AY142">
        <v>1.7174845164364001</v>
      </c>
      <c r="AZ142" s="1">
        <v>3.0500000342726701E-2</v>
      </c>
      <c r="BA142" s="1">
        <v>6.8999998271465302E-2</v>
      </c>
      <c r="BB142" s="1">
        <v>9.95000004768372E-2</v>
      </c>
      <c r="BC142" s="1">
        <v>2.2117084999999999</v>
      </c>
      <c r="BD142" s="2">
        <v>76.096235483935999</v>
      </c>
      <c r="BE142" s="2"/>
      <c r="BF142" s="2"/>
      <c r="BH142" s="3"/>
      <c r="BM142" s="3">
        <v>221.8</v>
      </c>
      <c r="BN142">
        <v>49</v>
      </c>
      <c r="BO142">
        <v>28.356481481481481</v>
      </c>
      <c r="BP142">
        <v>3311920934.1371498</v>
      </c>
      <c r="BQ142">
        <v>739169955.09872961</v>
      </c>
      <c r="BR142">
        <v>28.730722915709407</v>
      </c>
      <c r="BU142">
        <v>6.3953561413699003</v>
      </c>
    </row>
    <row r="143" spans="1:73" x14ac:dyDescent="0.2">
      <c r="A143">
        <v>142</v>
      </c>
      <c r="B143" t="s">
        <v>73</v>
      </c>
      <c r="C143">
        <v>1993</v>
      </c>
      <c r="D143">
        <v>6</v>
      </c>
      <c r="E143">
        <v>0</v>
      </c>
      <c r="F143" t="s">
        <v>74</v>
      </c>
      <c r="G143">
        <v>0.47399999999999998</v>
      </c>
      <c r="H143">
        <v>1</v>
      </c>
      <c r="O143">
        <v>-1.141</v>
      </c>
      <c r="Q143">
        <v>0</v>
      </c>
      <c r="R143">
        <v>8363.5</v>
      </c>
      <c r="S143">
        <v>4.3639999999999999</v>
      </c>
      <c r="T143">
        <v>9.7799999999999994</v>
      </c>
      <c r="U143">
        <v>3.95</v>
      </c>
      <c r="V143">
        <v>46</v>
      </c>
      <c r="W143" t="s">
        <v>54</v>
      </c>
      <c r="X143" t="s">
        <v>55</v>
      </c>
      <c r="Y143" t="s">
        <v>59</v>
      </c>
      <c r="Z143">
        <v>0.84499999999999997</v>
      </c>
      <c r="AA143">
        <v>0.89700000000000002</v>
      </c>
      <c r="AB143">
        <v>166</v>
      </c>
      <c r="AC143">
        <v>8.1</v>
      </c>
      <c r="AE143">
        <v>-84.008899999999997</v>
      </c>
      <c r="AF143">
        <v>9.6370100000000001</v>
      </c>
      <c r="AG143" t="s">
        <v>57</v>
      </c>
      <c r="AH143" t="s">
        <v>58</v>
      </c>
      <c r="AI143">
        <v>6683.8360000000002</v>
      </c>
      <c r="AJ143">
        <v>7.0971909999999996</v>
      </c>
      <c r="AK143">
        <v>22500000000</v>
      </c>
      <c r="AN143">
        <v>-6.4719680000000004</v>
      </c>
      <c r="AO143">
        <v>66.076260000000005</v>
      </c>
      <c r="AP143">
        <v>79.352329999999995</v>
      </c>
      <c r="AQ143">
        <v>2.5743860000000001</v>
      </c>
      <c r="AR143">
        <v>12.77178</v>
      </c>
      <c r="AS143">
        <v>2.1039129999999999</v>
      </c>
      <c r="AT143">
        <v>2.2803390000000001</v>
      </c>
      <c r="AU143">
        <v>1.3018810000000001</v>
      </c>
      <c r="AV143">
        <v>2.2803390000000001</v>
      </c>
      <c r="AW143">
        <v>23.838550000000001</v>
      </c>
      <c r="AX143">
        <v>12.01</v>
      </c>
      <c r="AY143">
        <v>1.7174845164364001</v>
      </c>
      <c r="AZ143" s="1">
        <v>3.0500000342726701E-2</v>
      </c>
      <c r="BA143" s="1">
        <v>6.8999998271465302E-2</v>
      </c>
      <c r="BB143" s="1">
        <v>9.95000004768372E-2</v>
      </c>
      <c r="BC143" s="1">
        <v>2.2117084999999999</v>
      </c>
      <c r="BD143" s="2">
        <v>79.352336825140995</v>
      </c>
      <c r="BE143" s="2">
        <f t="shared" si="4"/>
        <v>3.2561013412049959</v>
      </c>
      <c r="BF143" s="2">
        <f t="shared" si="5"/>
        <v>4.2789256531518731</v>
      </c>
      <c r="BH143" s="3"/>
      <c r="BM143" s="3">
        <v>243.2</v>
      </c>
      <c r="BN143">
        <v>21.399999999999977</v>
      </c>
      <c r="BO143">
        <v>9.6483318304778969</v>
      </c>
      <c r="BP143">
        <v>3802618897.7545099</v>
      </c>
      <c r="BQ143">
        <v>490697963.61736012</v>
      </c>
      <c r="BR143">
        <v>14.81611346936339</v>
      </c>
      <c r="BS143">
        <v>0.66175170000000005</v>
      </c>
      <c r="BT143">
        <v>2.022138</v>
      </c>
      <c r="BU143">
        <v>4.37321863010584</v>
      </c>
    </row>
    <row r="144" spans="1:73" x14ac:dyDescent="0.2">
      <c r="A144">
        <v>143</v>
      </c>
      <c r="B144" t="s">
        <v>73</v>
      </c>
      <c r="C144">
        <v>1994</v>
      </c>
      <c r="D144">
        <v>6</v>
      </c>
      <c r="E144">
        <v>1</v>
      </c>
      <c r="F144" t="s">
        <v>74</v>
      </c>
      <c r="G144">
        <v>0.47399999999999998</v>
      </c>
      <c r="H144">
        <v>0</v>
      </c>
      <c r="I144">
        <v>0.82199999999999995</v>
      </c>
      <c r="J144">
        <v>0.71499999999999997</v>
      </c>
      <c r="K144">
        <v>2.0139999999999998</v>
      </c>
      <c r="L144">
        <v>1.88</v>
      </c>
      <c r="M144">
        <v>0.85499999999999998</v>
      </c>
      <c r="N144">
        <v>0.81399999999999995</v>
      </c>
      <c r="O144">
        <v>-1.141</v>
      </c>
      <c r="Q144">
        <v>1</v>
      </c>
      <c r="R144">
        <v>8479.6</v>
      </c>
      <c r="S144">
        <v>1.873</v>
      </c>
      <c r="T144">
        <v>13.54</v>
      </c>
      <c r="U144">
        <v>4.05</v>
      </c>
      <c r="V144">
        <v>46.8</v>
      </c>
      <c r="W144" t="s">
        <v>54</v>
      </c>
      <c r="X144" t="s">
        <v>55</v>
      </c>
      <c r="Y144" t="s">
        <v>59</v>
      </c>
      <c r="Z144">
        <v>0.84799999999999998</v>
      </c>
      <c r="AA144">
        <v>0.89800000000000002</v>
      </c>
      <c r="AB144">
        <v>57</v>
      </c>
      <c r="AC144">
        <v>8.1</v>
      </c>
      <c r="AE144">
        <v>-84.008899999999997</v>
      </c>
      <c r="AF144">
        <v>9.6370100000000001</v>
      </c>
      <c r="AG144" t="s">
        <v>57</v>
      </c>
      <c r="AH144" t="s">
        <v>58</v>
      </c>
      <c r="AI144">
        <v>6811.1120000000001</v>
      </c>
      <c r="AJ144">
        <v>4.5190279999999996</v>
      </c>
      <c r="AK144">
        <v>23600000000</v>
      </c>
      <c r="AN144">
        <v>-2.2275659999999999</v>
      </c>
      <c r="AO144">
        <v>65.263549999999995</v>
      </c>
      <c r="AP144">
        <v>77.997309999999999</v>
      </c>
      <c r="AQ144">
        <v>2.8378570000000001</v>
      </c>
      <c r="AR144">
        <v>13.297879999999999</v>
      </c>
      <c r="AS144">
        <v>2.578163</v>
      </c>
      <c r="AT144">
        <v>2.605648</v>
      </c>
      <c r="AU144">
        <v>1.3018810000000001</v>
      </c>
      <c r="AV144">
        <v>2.605648</v>
      </c>
      <c r="AW144">
        <v>23.882750000000001</v>
      </c>
      <c r="AX144">
        <v>3.76</v>
      </c>
      <c r="AY144">
        <v>1.7174845164364001</v>
      </c>
      <c r="AZ144" s="1">
        <v>5.4999999701976797E-2</v>
      </c>
      <c r="BA144" s="1">
        <v>5.2999999374151202E-2</v>
      </c>
      <c r="BB144" s="1">
        <v>0.107999995350838</v>
      </c>
      <c r="BC144" s="1">
        <v>2.2928722000000001</v>
      </c>
      <c r="BD144" s="2">
        <v>77.997307999643994</v>
      </c>
      <c r="BE144" s="2">
        <f t="shared" si="4"/>
        <v>1.3550288254970013</v>
      </c>
      <c r="BF144" s="2">
        <f t="shared" si="5"/>
        <v>1.7076104872411155</v>
      </c>
      <c r="BH144" s="3"/>
      <c r="BM144" s="3">
        <v>291.89999999999998</v>
      </c>
      <c r="BN144">
        <v>48.699999999999989</v>
      </c>
      <c r="BO144">
        <v>20.024671052631575</v>
      </c>
      <c r="BP144">
        <v>3942734305.2733202</v>
      </c>
      <c r="BQ144">
        <v>140115407.51881027</v>
      </c>
      <c r="BR144">
        <v>3.6847081258011425</v>
      </c>
      <c r="BS144">
        <v>0.52609729999999999</v>
      </c>
      <c r="BT144">
        <v>2.4689869999999998</v>
      </c>
      <c r="BU144">
        <v>1.9042312751458901</v>
      </c>
    </row>
    <row r="145" spans="1:73" x14ac:dyDescent="0.2">
      <c r="A145">
        <v>144</v>
      </c>
      <c r="B145" t="s">
        <v>73</v>
      </c>
      <c r="C145">
        <v>1995</v>
      </c>
      <c r="D145">
        <v>6</v>
      </c>
      <c r="E145">
        <v>0</v>
      </c>
      <c r="F145" t="s">
        <v>74</v>
      </c>
      <c r="G145">
        <v>0.73424999999999996</v>
      </c>
      <c r="H145">
        <v>1</v>
      </c>
      <c r="I145">
        <v>0.82199999999999995</v>
      </c>
      <c r="J145">
        <v>0.71499999999999997</v>
      </c>
      <c r="K145">
        <v>2.0139999999999998</v>
      </c>
      <c r="L145">
        <v>1.88</v>
      </c>
      <c r="M145">
        <v>0.85499999999999998</v>
      </c>
      <c r="N145">
        <v>0.81399999999999995</v>
      </c>
      <c r="O145">
        <v>-1.141</v>
      </c>
      <c r="Q145">
        <v>0</v>
      </c>
      <c r="R145">
        <v>8576.4</v>
      </c>
      <c r="S145">
        <v>1.575</v>
      </c>
      <c r="T145">
        <v>23.19</v>
      </c>
      <c r="U145">
        <v>5.18</v>
      </c>
      <c r="V145">
        <v>45.7</v>
      </c>
      <c r="W145" t="s">
        <v>54</v>
      </c>
      <c r="X145" t="s">
        <v>55</v>
      </c>
      <c r="Y145" t="s">
        <v>59</v>
      </c>
      <c r="Z145">
        <v>0.84799999999999998</v>
      </c>
      <c r="AA145">
        <v>0.89800000000000002</v>
      </c>
      <c r="AB145">
        <v>57</v>
      </c>
      <c r="AC145">
        <v>8.1</v>
      </c>
      <c r="AE145">
        <v>-84.008899999999997</v>
      </c>
      <c r="AF145">
        <v>9.6370100000000001</v>
      </c>
      <c r="AG145" t="s">
        <v>57</v>
      </c>
      <c r="AH145" t="s">
        <v>58</v>
      </c>
      <c r="AI145">
        <v>6920.5789999999997</v>
      </c>
      <c r="AJ145">
        <v>4.1539529999999996</v>
      </c>
      <c r="AK145">
        <v>24500000000</v>
      </c>
      <c r="AN145">
        <v>-3.0931389999999999</v>
      </c>
      <c r="AO145">
        <v>64.359740000000002</v>
      </c>
      <c r="AP145">
        <v>79.774379999999994</v>
      </c>
      <c r="AQ145">
        <v>2.9096799999999998</v>
      </c>
      <c r="AR145">
        <v>12.926690000000001</v>
      </c>
      <c r="AS145">
        <v>0.36507509999999999</v>
      </c>
      <c r="AT145">
        <v>3.1437210000000002</v>
      </c>
      <c r="AU145">
        <v>1.3018810000000001</v>
      </c>
      <c r="AV145">
        <v>3.1437210000000002</v>
      </c>
      <c r="AW145">
        <v>23.923449999999999</v>
      </c>
      <c r="AX145">
        <v>9.6500009999999996</v>
      </c>
      <c r="AY145">
        <v>1.7174845164364001</v>
      </c>
      <c r="AZ145" s="1">
        <v>5.4999999701976797E-2</v>
      </c>
      <c r="BA145" s="1">
        <v>5.2999999374151202E-2</v>
      </c>
      <c r="BB145" s="1">
        <v>0.107999995350838</v>
      </c>
      <c r="BC145" s="1">
        <v>2.2928722000000001</v>
      </c>
      <c r="BD145" s="2">
        <v>79.774374546462994</v>
      </c>
      <c r="BE145" s="2">
        <f t="shared" si="4"/>
        <v>1.7770665468190003</v>
      </c>
      <c r="BF145" s="2">
        <f t="shared" si="5"/>
        <v>2.27836907759318</v>
      </c>
      <c r="BH145" s="3"/>
      <c r="BM145" s="3">
        <v>331.4</v>
      </c>
      <c r="BN145">
        <v>39.5</v>
      </c>
      <c r="BO145">
        <v>13.532031517643029</v>
      </c>
      <c r="BP145">
        <v>4166456151.8287101</v>
      </c>
      <c r="BQ145">
        <v>223721846.55538988</v>
      </c>
      <c r="BR145">
        <v>5.6742815831177573</v>
      </c>
      <c r="BS145">
        <v>0.37119010000000002</v>
      </c>
      <c r="BT145">
        <v>0.29704619999999998</v>
      </c>
      <c r="BU145">
        <v>1.6071850733344799</v>
      </c>
    </row>
    <row r="146" spans="1:73" x14ac:dyDescent="0.2">
      <c r="A146">
        <v>145</v>
      </c>
      <c r="B146" t="s">
        <v>73</v>
      </c>
      <c r="C146">
        <v>1996</v>
      </c>
      <c r="D146">
        <v>6</v>
      </c>
      <c r="E146">
        <v>0</v>
      </c>
      <c r="F146" t="s">
        <v>74</v>
      </c>
      <c r="G146">
        <v>0.73424999999999996</v>
      </c>
      <c r="H146">
        <v>0</v>
      </c>
      <c r="I146">
        <v>0.82199999999999995</v>
      </c>
      <c r="J146">
        <v>0.71499999999999997</v>
      </c>
      <c r="K146">
        <v>2.0139999999999998</v>
      </c>
      <c r="L146">
        <v>1.88</v>
      </c>
      <c r="M146">
        <v>0.85499999999999998</v>
      </c>
      <c r="N146">
        <v>0.81399999999999995</v>
      </c>
      <c r="O146">
        <v>-1.141</v>
      </c>
      <c r="P146">
        <v>4.7619999999999996</v>
      </c>
      <c r="Q146">
        <v>0</v>
      </c>
      <c r="R146">
        <v>8446.7999999999993</v>
      </c>
      <c r="S146">
        <v>-1.1819999999999999</v>
      </c>
      <c r="T146">
        <v>17.510000000000002</v>
      </c>
      <c r="U146">
        <v>6.16</v>
      </c>
      <c r="V146">
        <v>46.5</v>
      </c>
      <c r="W146" t="s">
        <v>54</v>
      </c>
      <c r="X146" t="s">
        <v>55</v>
      </c>
      <c r="Y146" t="s">
        <v>59</v>
      </c>
      <c r="Z146">
        <v>0.84799999999999998</v>
      </c>
      <c r="AA146">
        <v>0.89800000000000002</v>
      </c>
      <c r="AB146">
        <v>57</v>
      </c>
      <c r="AC146">
        <v>8.1</v>
      </c>
      <c r="AD146">
        <v>30.098210000000002</v>
      </c>
      <c r="AE146">
        <v>-84.008899999999997</v>
      </c>
      <c r="AF146">
        <v>9.6370100000000001</v>
      </c>
      <c r="AG146" t="s">
        <v>57</v>
      </c>
      <c r="AH146" t="s">
        <v>58</v>
      </c>
      <c r="AI146">
        <v>6846.357</v>
      </c>
      <c r="AJ146">
        <v>1.35046</v>
      </c>
      <c r="AK146">
        <v>24900000000</v>
      </c>
      <c r="AM146">
        <v>30.098210000000002</v>
      </c>
      <c r="AN146">
        <v>-2.2577530000000001</v>
      </c>
      <c r="AO146">
        <v>63.297899999999998</v>
      </c>
      <c r="AP146">
        <v>84.057169999999999</v>
      </c>
      <c r="AQ146">
        <v>3.6558869999999999</v>
      </c>
      <c r="AR146">
        <v>13.06293</v>
      </c>
      <c r="AS146">
        <v>2.803493</v>
      </c>
      <c r="AT146">
        <v>2.8627720000000001</v>
      </c>
      <c r="AU146">
        <v>1.3018810000000001</v>
      </c>
      <c r="AV146">
        <v>2.8627720000000001</v>
      </c>
      <c r="AW146">
        <v>23.936859999999999</v>
      </c>
      <c r="AX146">
        <v>5.68</v>
      </c>
      <c r="AY146">
        <v>1.7174845164364001</v>
      </c>
      <c r="AZ146" s="1">
        <v>5.4999999701976797E-2</v>
      </c>
      <c r="BA146" s="1">
        <v>5.2999999374151202E-2</v>
      </c>
      <c r="BB146" s="1">
        <v>0.107999995350838</v>
      </c>
      <c r="BC146" s="1">
        <v>2.2928722000000001</v>
      </c>
      <c r="BD146" s="2">
        <v>84.057164004906994</v>
      </c>
      <c r="BE146" s="2">
        <f t="shared" si="4"/>
        <v>4.2827894584440003</v>
      </c>
      <c r="BF146" s="2">
        <f t="shared" si="5"/>
        <v>5.3686280623229141</v>
      </c>
      <c r="BH146" s="3"/>
      <c r="BM146" s="3">
        <v>421.26</v>
      </c>
      <c r="BN146">
        <v>89.860000000000014</v>
      </c>
      <c r="BO146">
        <v>27.115268557634288</v>
      </c>
      <c r="BP146">
        <v>3931690366.68225</v>
      </c>
      <c r="BQ146">
        <v>234765785.14646006</v>
      </c>
      <c r="BR146">
        <v>5.6346635267820684</v>
      </c>
      <c r="BS146">
        <v>0.1362391</v>
      </c>
      <c r="BT146">
        <v>2.679659</v>
      </c>
      <c r="BU146">
        <v>-1.07247415477394</v>
      </c>
    </row>
    <row r="147" spans="1:73" x14ac:dyDescent="0.2">
      <c r="A147">
        <v>146</v>
      </c>
      <c r="B147" t="s">
        <v>73</v>
      </c>
      <c r="C147">
        <v>1997</v>
      </c>
      <c r="D147">
        <v>6</v>
      </c>
      <c r="E147">
        <v>0</v>
      </c>
      <c r="F147" t="s">
        <v>74</v>
      </c>
      <c r="G147">
        <v>0.73424999999999996</v>
      </c>
      <c r="H147">
        <v>0</v>
      </c>
      <c r="I147">
        <v>0.82199999999999995</v>
      </c>
      <c r="J147">
        <v>0.71499999999999997</v>
      </c>
      <c r="K147">
        <v>2.0139999999999998</v>
      </c>
      <c r="L147">
        <v>1.88</v>
      </c>
      <c r="M147">
        <v>0.85499999999999998</v>
      </c>
      <c r="N147">
        <v>0.81399999999999995</v>
      </c>
      <c r="O147">
        <v>-1.141</v>
      </c>
      <c r="P147">
        <v>5.0270000000000001</v>
      </c>
      <c r="Q147">
        <v>0</v>
      </c>
      <c r="R147">
        <v>8684</v>
      </c>
      <c r="S147">
        <v>3.1070000000000002</v>
      </c>
      <c r="T147">
        <v>13.25</v>
      </c>
      <c r="U147">
        <v>5.68</v>
      </c>
      <c r="V147">
        <v>45.6</v>
      </c>
      <c r="W147" t="s">
        <v>54</v>
      </c>
      <c r="X147" t="s">
        <v>55</v>
      </c>
      <c r="Y147" t="s">
        <v>59</v>
      </c>
      <c r="Z147">
        <v>0.84299999999999997</v>
      </c>
      <c r="AA147">
        <v>0.89800000000000002</v>
      </c>
      <c r="AB147">
        <v>57</v>
      </c>
      <c r="AC147">
        <v>8.1</v>
      </c>
      <c r="AD147">
        <v>30.179030000000001</v>
      </c>
      <c r="AE147">
        <v>-84.008899999999997</v>
      </c>
      <c r="AF147">
        <v>9.6370100000000001</v>
      </c>
      <c r="AG147" t="s">
        <v>57</v>
      </c>
      <c r="AH147" t="s">
        <v>58</v>
      </c>
      <c r="AI147">
        <v>7053.1369999999997</v>
      </c>
      <c r="AJ147">
        <v>5.4761660000000001</v>
      </c>
      <c r="AK147">
        <v>26200000000</v>
      </c>
      <c r="AM147">
        <v>30.179030000000001</v>
      </c>
      <c r="AN147">
        <v>-3.8120579999999999</v>
      </c>
      <c r="AO147">
        <v>62.176070000000003</v>
      </c>
      <c r="AP147">
        <v>87.613200000000006</v>
      </c>
      <c r="AQ147">
        <v>3.245762</v>
      </c>
      <c r="AR147">
        <v>12.623989999999999</v>
      </c>
      <c r="AS147">
        <v>4.1257060000000001</v>
      </c>
      <c r="AT147">
        <v>2.5839970000000001</v>
      </c>
      <c r="AU147">
        <v>1.3018810000000001</v>
      </c>
      <c r="AV147">
        <v>2.5839970000000001</v>
      </c>
      <c r="AW147">
        <v>23.990179999999999</v>
      </c>
      <c r="AX147">
        <v>4.26</v>
      </c>
      <c r="AY147">
        <v>1.7174845164364001</v>
      </c>
      <c r="AZ147" s="1">
        <v>5.4999999701976797E-2</v>
      </c>
      <c r="BA147" s="1">
        <v>5.2999999374151202E-2</v>
      </c>
      <c r="BB147" s="1">
        <v>0.107999995350838</v>
      </c>
      <c r="BC147" s="1">
        <v>2.2928722000000001</v>
      </c>
      <c r="BD147" s="2">
        <v>87.613198096907993</v>
      </c>
      <c r="BE147" s="2">
        <f t="shared" si="4"/>
        <v>3.5560340920009992</v>
      </c>
      <c r="BF147" s="2">
        <f t="shared" si="5"/>
        <v>4.2304949662510731</v>
      </c>
      <c r="BH147" s="3"/>
      <c r="BM147" s="3">
        <v>403.76</v>
      </c>
      <c r="BN147">
        <v>17.5</v>
      </c>
      <c r="BO147">
        <v>4.1542040545031576</v>
      </c>
      <c r="BP147">
        <v>4653067999.0516796</v>
      </c>
      <c r="BQ147">
        <v>721377632.36942959</v>
      </c>
      <c r="BR147">
        <v>18.347773224526907</v>
      </c>
      <c r="BS147">
        <v>0.4389324</v>
      </c>
      <c r="BT147">
        <v>4.0927629999999997</v>
      </c>
      <c r="BU147">
        <v>3.0202893146276599</v>
      </c>
    </row>
    <row r="148" spans="1:73" x14ac:dyDescent="0.2">
      <c r="A148">
        <v>147</v>
      </c>
      <c r="B148" t="s">
        <v>73</v>
      </c>
      <c r="C148">
        <v>1998</v>
      </c>
      <c r="D148">
        <v>6</v>
      </c>
      <c r="E148">
        <v>1</v>
      </c>
      <c r="F148" t="s">
        <v>74</v>
      </c>
      <c r="G148">
        <v>0.73424999999999996</v>
      </c>
      <c r="H148">
        <v>0</v>
      </c>
      <c r="I148">
        <v>0.33500000000000002</v>
      </c>
      <c r="J148">
        <v>0.38600000000000001</v>
      </c>
      <c r="K148">
        <v>1.2849999999999999</v>
      </c>
      <c r="L148">
        <v>1.3819999999999999</v>
      </c>
      <c r="M148">
        <v>0.503</v>
      </c>
      <c r="N148">
        <v>0.57999999999999996</v>
      </c>
      <c r="O148">
        <v>-1.141</v>
      </c>
      <c r="P148">
        <v>5.7969999999999997</v>
      </c>
      <c r="Q148">
        <v>1</v>
      </c>
      <c r="R148">
        <v>9053.9</v>
      </c>
      <c r="S148">
        <v>4.5730000000000004</v>
      </c>
      <c r="T148">
        <v>11.66</v>
      </c>
      <c r="U148">
        <v>5.33</v>
      </c>
      <c r="V148">
        <v>45.7</v>
      </c>
      <c r="W148" t="s">
        <v>54</v>
      </c>
      <c r="X148" t="s">
        <v>55</v>
      </c>
      <c r="Y148" t="s">
        <v>59</v>
      </c>
      <c r="Z148">
        <v>0.84799999999999998</v>
      </c>
      <c r="AA148">
        <v>0.89700000000000002</v>
      </c>
      <c r="AB148">
        <v>57</v>
      </c>
      <c r="AC148">
        <v>8.1</v>
      </c>
      <c r="AD148">
        <v>40.205100000000002</v>
      </c>
      <c r="AE148">
        <v>-84.008899999999997</v>
      </c>
      <c r="AF148">
        <v>9.6370100000000001</v>
      </c>
      <c r="AG148" t="s">
        <v>57</v>
      </c>
      <c r="AH148" t="s">
        <v>58</v>
      </c>
      <c r="AI148">
        <v>7389.0450000000001</v>
      </c>
      <c r="AJ148">
        <v>7.1553089999999999</v>
      </c>
      <c r="AK148">
        <v>28100000000</v>
      </c>
      <c r="AM148">
        <v>40.205100000000002</v>
      </c>
      <c r="AN148">
        <v>-3.8054679999999999</v>
      </c>
      <c r="AO148">
        <v>60.959159999999997</v>
      </c>
      <c r="AP148">
        <v>92.038020000000003</v>
      </c>
      <c r="AQ148">
        <v>4.4905619999999997</v>
      </c>
      <c r="AR148">
        <v>12.73024</v>
      </c>
      <c r="AS148">
        <v>1.6791430000000001</v>
      </c>
      <c r="AT148">
        <v>2.4561639999999998</v>
      </c>
      <c r="AU148">
        <v>1.3018810000000001</v>
      </c>
      <c r="AV148">
        <v>2.4561639999999998</v>
      </c>
      <c r="AW148">
        <v>24.059290000000001</v>
      </c>
      <c r="AX148">
        <v>1.59</v>
      </c>
      <c r="AY148">
        <v>1.7174845164364001</v>
      </c>
      <c r="AZ148" s="1">
        <v>7.3499999940395397E-2</v>
      </c>
      <c r="BA148" s="1">
        <v>7.2999998927116394E-2</v>
      </c>
      <c r="BB148" s="1">
        <v>0.14649999141693101</v>
      </c>
      <c r="BC148" s="1">
        <v>2.5562548999999999</v>
      </c>
      <c r="BD148" s="2">
        <v>92.038021237118997</v>
      </c>
      <c r="BE148" s="2">
        <f t="shared" si="4"/>
        <v>4.4248231402110036</v>
      </c>
      <c r="BF148" s="2">
        <f t="shared" si="5"/>
        <v>5.0504070577548781</v>
      </c>
      <c r="BH148" s="3"/>
      <c r="BM148" s="3">
        <v>608.26</v>
      </c>
      <c r="BN148">
        <v>204.5</v>
      </c>
      <c r="BO148">
        <v>50.648900336833762</v>
      </c>
      <c r="BP148">
        <v>5875314812.5551701</v>
      </c>
      <c r="BQ148">
        <v>1222246813.5034904</v>
      </c>
      <c r="BR148">
        <v>26.267546783167383</v>
      </c>
      <c r="BS148">
        <v>0.10624790000000001</v>
      </c>
      <c r="BT148">
        <v>1.7422390000000001</v>
      </c>
      <c r="BU148">
        <v>4.7625285840476899</v>
      </c>
    </row>
    <row r="149" spans="1:73" x14ac:dyDescent="0.2">
      <c r="A149">
        <v>148</v>
      </c>
      <c r="B149" t="s">
        <v>73</v>
      </c>
      <c r="C149">
        <v>1999</v>
      </c>
      <c r="D149">
        <v>6</v>
      </c>
      <c r="E149">
        <v>0</v>
      </c>
      <c r="F149" t="s">
        <v>74</v>
      </c>
      <c r="G149">
        <v>0.73424999999999996</v>
      </c>
      <c r="H149">
        <v>0</v>
      </c>
      <c r="I149">
        <v>0.33500000000000002</v>
      </c>
      <c r="J149">
        <v>0.38600000000000001</v>
      </c>
      <c r="K149">
        <v>1.2849999999999999</v>
      </c>
      <c r="L149">
        <v>1.3819999999999999</v>
      </c>
      <c r="M149">
        <v>0.503</v>
      </c>
      <c r="N149">
        <v>0.57999999999999996</v>
      </c>
      <c r="O149">
        <v>-1.141</v>
      </c>
      <c r="P149">
        <v>5.7969999999999997</v>
      </c>
      <c r="Q149">
        <v>0</v>
      </c>
      <c r="R149">
        <v>9183.9</v>
      </c>
      <c r="S149">
        <v>1.762</v>
      </c>
      <c r="T149">
        <v>10.050000000000001</v>
      </c>
      <c r="U149">
        <v>5.9</v>
      </c>
      <c r="V149">
        <v>47.7</v>
      </c>
      <c r="W149" t="s">
        <v>54</v>
      </c>
      <c r="X149" t="s">
        <v>55</v>
      </c>
      <c r="Y149" t="s">
        <v>59</v>
      </c>
      <c r="Z149">
        <v>0.84799999999999998</v>
      </c>
      <c r="AA149">
        <v>0.89700000000000002</v>
      </c>
      <c r="AB149">
        <v>57</v>
      </c>
      <c r="AC149">
        <v>8.1</v>
      </c>
      <c r="AD149">
        <v>40.104799999999997</v>
      </c>
      <c r="AE149">
        <v>-84.008899999999997</v>
      </c>
      <c r="AF149">
        <v>9.6370100000000001</v>
      </c>
      <c r="AG149" t="s">
        <v>57</v>
      </c>
      <c r="AH149" t="s">
        <v>58</v>
      </c>
      <c r="AI149">
        <v>7538.8860000000004</v>
      </c>
      <c r="AJ149">
        <v>4.2148110000000001</v>
      </c>
      <c r="AK149">
        <v>29300000000</v>
      </c>
      <c r="AM149">
        <v>40.104799999999997</v>
      </c>
      <c r="AN149">
        <v>-4.6752380000000002</v>
      </c>
      <c r="AO149">
        <v>59.594079999999998</v>
      </c>
      <c r="AP149">
        <v>87.538610000000006</v>
      </c>
      <c r="AQ149">
        <v>4.3456679999999999</v>
      </c>
      <c r="AR149">
        <v>13.28711</v>
      </c>
      <c r="AS149">
        <v>2.9404970000000001</v>
      </c>
      <c r="AT149">
        <v>2.3075730000000001</v>
      </c>
      <c r="AU149">
        <v>1.3018810000000001</v>
      </c>
      <c r="AV149">
        <v>2.3075730000000001</v>
      </c>
      <c r="AW149">
        <v>24.100570000000001</v>
      </c>
      <c r="AX149">
        <v>1.61</v>
      </c>
      <c r="AY149">
        <v>1.7174845164364001</v>
      </c>
      <c r="AZ149" s="1">
        <v>7.3499999940395397E-2</v>
      </c>
      <c r="BA149" s="1">
        <v>7.2999998927116394E-2</v>
      </c>
      <c r="BB149" s="1">
        <v>0.14649999141693101</v>
      </c>
      <c r="BC149" s="1">
        <v>2.5562548999999999</v>
      </c>
      <c r="BD149" s="2">
        <v>87.538613790949995</v>
      </c>
      <c r="BE149" s="2">
        <f t="shared" si="4"/>
        <v>4.4994074461690019</v>
      </c>
      <c r="BF149" s="2">
        <f t="shared" si="5"/>
        <v>4.8886399182541176</v>
      </c>
      <c r="BH149" s="3"/>
      <c r="BM149" s="3">
        <v>564.25120000000004</v>
      </c>
      <c r="BN149">
        <v>44.008799999999951</v>
      </c>
      <c r="BO149">
        <v>7.2351954756189718</v>
      </c>
      <c r="BP149">
        <v>5766775933.3186998</v>
      </c>
      <c r="BQ149">
        <v>108538879.23647022</v>
      </c>
      <c r="BR149">
        <v>1.8473712932714621</v>
      </c>
      <c r="BS149">
        <v>0.55686760000000002</v>
      </c>
      <c r="BT149">
        <v>2.7346460000000001</v>
      </c>
      <c r="BU149">
        <v>2.02788230911557</v>
      </c>
    </row>
    <row r="150" spans="1:73" x14ac:dyDescent="0.2">
      <c r="A150">
        <v>149</v>
      </c>
      <c r="B150" t="s">
        <v>73</v>
      </c>
      <c r="C150">
        <v>2000</v>
      </c>
      <c r="D150">
        <v>6</v>
      </c>
      <c r="E150">
        <v>0</v>
      </c>
      <c r="F150" t="s">
        <v>74</v>
      </c>
      <c r="G150">
        <v>0.73424999999999996</v>
      </c>
      <c r="H150">
        <v>0</v>
      </c>
      <c r="I150">
        <v>0.33500000000000002</v>
      </c>
      <c r="J150">
        <v>0.38600000000000001</v>
      </c>
      <c r="K150">
        <v>1.2849999999999999</v>
      </c>
      <c r="L150">
        <v>1.3819999999999999</v>
      </c>
      <c r="M150">
        <v>0.503</v>
      </c>
      <c r="N150">
        <v>0.57999999999999996</v>
      </c>
      <c r="O150">
        <v>-1.5529999999999999</v>
      </c>
      <c r="P150">
        <v>4.8369999999999997</v>
      </c>
      <c r="Q150">
        <v>0</v>
      </c>
      <c r="R150">
        <v>9319.7999999999993</v>
      </c>
      <c r="S150">
        <v>1.8169999999999999</v>
      </c>
      <c r="T150">
        <v>10.96</v>
      </c>
      <c r="U150">
        <v>5.08</v>
      </c>
      <c r="V150">
        <v>47.4</v>
      </c>
      <c r="W150" t="s">
        <v>54</v>
      </c>
      <c r="X150" t="s">
        <v>55</v>
      </c>
      <c r="Y150" t="s">
        <v>59</v>
      </c>
      <c r="Z150">
        <v>0.84699999999999998</v>
      </c>
      <c r="AA150">
        <v>0.89700000000000002</v>
      </c>
      <c r="AB150">
        <v>57</v>
      </c>
      <c r="AC150">
        <v>8.1</v>
      </c>
      <c r="AD150">
        <v>38.501849999999997</v>
      </c>
      <c r="AE150">
        <v>-84.008899999999997</v>
      </c>
      <c r="AF150">
        <v>9.6370100000000001</v>
      </c>
      <c r="AG150" t="s">
        <v>57</v>
      </c>
      <c r="AH150" t="s">
        <v>58</v>
      </c>
      <c r="AI150">
        <v>7678.4920000000002</v>
      </c>
      <c r="AJ150">
        <v>3.8687179999999999</v>
      </c>
      <c r="AK150">
        <v>30400000000</v>
      </c>
      <c r="AM150">
        <v>38.501849999999997</v>
      </c>
      <c r="AN150">
        <v>-4.559558</v>
      </c>
      <c r="AO150">
        <v>58.081029999999998</v>
      </c>
      <c r="AP150">
        <v>86.524929999999998</v>
      </c>
      <c r="AQ150">
        <v>4.8184639999999996</v>
      </c>
      <c r="AR150">
        <v>13.727830000000001</v>
      </c>
      <c r="AS150">
        <v>0.34609319999999999</v>
      </c>
      <c r="AT150">
        <v>2.3942519999999998</v>
      </c>
      <c r="AU150">
        <v>2.4118089999999999</v>
      </c>
      <c r="AV150">
        <v>2.3942519999999998</v>
      </c>
      <c r="AW150">
        <v>24.138529999999999</v>
      </c>
      <c r="AX150">
        <v>0.90999980000000003</v>
      </c>
      <c r="AY150">
        <v>1.3903446085437501</v>
      </c>
      <c r="AZ150" s="1">
        <v>7.3499999940395397E-2</v>
      </c>
      <c r="BA150" s="1">
        <v>7.2999998927116394E-2</v>
      </c>
      <c r="BB150" s="1">
        <v>0.14649999141693101</v>
      </c>
      <c r="BC150" s="1">
        <v>2.5562548999999999</v>
      </c>
      <c r="BD150" s="2">
        <v>86.524923532480003</v>
      </c>
      <c r="BE150" s="2">
        <f t="shared" si="4"/>
        <v>1.0136902584699925</v>
      </c>
      <c r="BF150" s="2">
        <f t="shared" si="5"/>
        <v>1.157992130068195</v>
      </c>
      <c r="BH150" s="3"/>
      <c r="BM150" s="3">
        <v>616.03689999999995</v>
      </c>
      <c r="BN150">
        <v>51.785699999999906</v>
      </c>
      <c r="BO150">
        <v>9.1777740127092162</v>
      </c>
      <c r="BP150">
        <v>5502822175.8228302</v>
      </c>
      <c r="BQ150">
        <v>263953757.49586964</v>
      </c>
      <c r="BR150">
        <v>4.577146061299592</v>
      </c>
      <c r="BS150">
        <v>0.44071579999999999</v>
      </c>
      <c r="BT150">
        <v>0.1760796</v>
      </c>
      <c r="BU150">
        <v>1.85180269276941</v>
      </c>
    </row>
    <row r="151" spans="1:73" x14ac:dyDescent="0.2">
      <c r="A151">
        <v>150</v>
      </c>
      <c r="B151" t="s">
        <v>73</v>
      </c>
      <c r="C151">
        <v>2001</v>
      </c>
      <c r="D151">
        <v>6</v>
      </c>
      <c r="E151">
        <v>0</v>
      </c>
      <c r="F151" t="s">
        <v>74</v>
      </c>
      <c r="G151">
        <v>0.73424999999999996</v>
      </c>
      <c r="H151">
        <v>0</v>
      </c>
      <c r="I151">
        <v>0.33500000000000002</v>
      </c>
      <c r="J151">
        <v>0.38600000000000001</v>
      </c>
      <c r="K151">
        <v>1.2849999999999999</v>
      </c>
      <c r="L151">
        <v>1.3819999999999999</v>
      </c>
      <c r="M151">
        <v>0.503</v>
      </c>
      <c r="N151">
        <v>0.57999999999999996</v>
      </c>
      <c r="O151">
        <v>-1.5529999999999999</v>
      </c>
      <c r="P151">
        <v>4.5110000000000001</v>
      </c>
      <c r="Q151">
        <v>0</v>
      </c>
      <c r="R151">
        <v>9451.6</v>
      </c>
      <c r="S151">
        <v>1.651</v>
      </c>
      <c r="T151">
        <v>11.26</v>
      </c>
      <c r="U151">
        <v>5.92</v>
      </c>
      <c r="V151">
        <v>51.5</v>
      </c>
      <c r="W151" t="s">
        <v>54</v>
      </c>
      <c r="X151" t="s">
        <v>55</v>
      </c>
      <c r="Y151" t="s">
        <v>59</v>
      </c>
      <c r="Z151">
        <v>0.84699999999999998</v>
      </c>
      <c r="AA151">
        <v>0.89700000000000002</v>
      </c>
      <c r="AB151">
        <v>57</v>
      </c>
      <c r="AC151">
        <v>8.1</v>
      </c>
      <c r="AD151">
        <v>39.33511</v>
      </c>
      <c r="AE151">
        <v>-84.008899999999997</v>
      </c>
      <c r="AF151">
        <v>9.6370100000000001</v>
      </c>
      <c r="AG151" t="s">
        <v>57</v>
      </c>
      <c r="AH151" t="s">
        <v>58</v>
      </c>
      <c r="AI151">
        <v>7805.3119999999999</v>
      </c>
      <c r="AJ151">
        <v>3.4911699999999999</v>
      </c>
      <c r="AK151">
        <v>31500000000</v>
      </c>
      <c r="AM151">
        <v>39.33511</v>
      </c>
      <c r="AN151">
        <v>-3.21895</v>
      </c>
      <c r="AO151">
        <v>56.766869999999997</v>
      </c>
      <c r="AP151">
        <v>80.852760000000004</v>
      </c>
      <c r="AQ151">
        <v>3.8923359999999998</v>
      </c>
      <c r="AR151">
        <v>14.29631</v>
      </c>
      <c r="AS151">
        <v>0.3775482</v>
      </c>
      <c r="AT151">
        <v>2.4212570000000002</v>
      </c>
      <c r="AU151">
        <v>2.4118089999999999</v>
      </c>
      <c r="AV151">
        <v>2.4212570000000002</v>
      </c>
      <c r="AW151">
        <v>24.17285</v>
      </c>
      <c r="AX151">
        <v>0.30000019999999999</v>
      </c>
      <c r="AY151">
        <v>1.3903446085437501</v>
      </c>
      <c r="AZ151" s="1">
        <v>7.3499999940395397E-2</v>
      </c>
      <c r="BA151" s="1">
        <v>7.2999998927116394E-2</v>
      </c>
      <c r="BB151" s="1">
        <v>0.14649999141693101</v>
      </c>
      <c r="BC151" s="1">
        <v>2.5562548999999999</v>
      </c>
      <c r="BD151" s="2">
        <v>80.852758718445997</v>
      </c>
      <c r="BE151" s="2">
        <f t="shared" si="4"/>
        <v>5.6721648140340051</v>
      </c>
      <c r="BF151" s="2">
        <f t="shared" si="5"/>
        <v>6.5555271041698981</v>
      </c>
      <c r="BH151" s="3"/>
      <c r="BJ151" s="3">
        <v>687131</v>
      </c>
      <c r="BM151" s="3">
        <v>553.42190000000005</v>
      </c>
      <c r="BN151">
        <v>62.614999999999895</v>
      </c>
      <c r="BO151">
        <v>10.164163867456624</v>
      </c>
      <c r="BP151">
        <v>5658281380.2428503</v>
      </c>
      <c r="BQ151">
        <v>155459204.4200201</v>
      </c>
      <c r="BR151">
        <v>2.8250813755720623</v>
      </c>
      <c r="BS151">
        <v>0.56848620000000005</v>
      </c>
      <c r="BT151">
        <v>0.2001714</v>
      </c>
      <c r="BU151">
        <v>1.6516313972931</v>
      </c>
    </row>
    <row r="152" spans="1:73" x14ac:dyDescent="0.2">
      <c r="A152">
        <v>151</v>
      </c>
      <c r="B152" t="s">
        <v>73</v>
      </c>
      <c r="C152">
        <v>2002</v>
      </c>
      <c r="D152">
        <v>6</v>
      </c>
      <c r="E152">
        <v>1</v>
      </c>
      <c r="F152" t="s">
        <v>74</v>
      </c>
      <c r="G152">
        <v>0.73424999999999996</v>
      </c>
      <c r="H152">
        <v>0</v>
      </c>
      <c r="I152">
        <v>0.41299999999999998</v>
      </c>
      <c r="J152">
        <v>0.47399999999999998</v>
      </c>
      <c r="K152">
        <v>1.5109999999999999</v>
      </c>
      <c r="L152">
        <v>1.53</v>
      </c>
      <c r="M152">
        <v>0.51100000000000001</v>
      </c>
      <c r="N152">
        <v>0.57699999999999996</v>
      </c>
      <c r="O152">
        <v>-1.5529999999999999</v>
      </c>
      <c r="P152">
        <v>4.9400000000000004</v>
      </c>
      <c r="Q152">
        <v>1</v>
      </c>
      <c r="R152">
        <v>9591.6</v>
      </c>
      <c r="S152">
        <v>1.6080000000000001</v>
      </c>
      <c r="T152">
        <v>9.17</v>
      </c>
      <c r="U152">
        <v>6.33</v>
      </c>
      <c r="V152">
        <v>51.8</v>
      </c>
      <c r="W152" t="s">
        <v>54</v>
      </c>
      <c r="X152" t="s">
        <v>55</v>
      </c>
      <c r="Y152" t="s">
        <v>59</v>
      </c>
      <c r="Z152">
        <v>0.85299999999999998</v>
      </c>
      <c r="AA152">
        <v>0.90300000000000002</v>
      </c>
      <c r="AB152">
        <v>57</v>
      </c>
      <c r="AC152">
        <v>8.1</v>
      </c>
      <c r="AE152">
        <v>-84.008899999999997</v>
      </c>
      <c r="AF152">
        <v>9.6370100000000001</v>
      </c>
      <c r="AG152" t="s">
        <v>57</v>
      </c>
      <c r="AH152" t="s">
        <v>58</v>
      </c>
      <c r="AI152">
        <v>7940.43</v>
      </c>
      <c r="AJ152">
        <v>3.4168759999999998</v>
      </c>
      <c r="AK152">
        <v>32600000000</v>
      </c>
      <c r="AN152">
        <v>-5.1877959999999996</v>
      </c>
      <c r="AO152">
        <v>55.318779999999997</v>
      </c>
      <c r="AP152">
        <v>80.41395</v>
      </c>
      <c r="AQ152">
        <v>4.3620270000000003</v>
      </c>
      <c r="AR152">
        <v>14.68906</v>
      </c>
      <c r="AS152">
        <v>7.4293600000000001E-2</v>
      </c>
      <c r="AT152">
        <v>2.2159369999999998</v>
      </c>
      <c r="AU152">
        <v>2.4118089999999999</v>
      </c>
      <c r="AV152">
        <v>2.2159369999999998</v>
      </c>
      <c r="AW152">
        <v>24.20645</v>
      </c>
      <c r="AX152">
        <v>2.09</v>
      </c>
      <c r="AY152">
        <v>1.3903446085437501</v>
      </c>
      <c r="AZ152" s="1">
        <v>0.14699999988079099</v>
      </c>
      <c r="BA152" s="1">
        <v>0.16949999332428001</v>
      </c>
      <c r="BB152" s="1">
        <v>0.31650000810623202</v>
      </c>
      <c r="BC152" s="1">
        <v>3.6795015000000002</v>
      </c>
      <c r="BD152" s="2">
        <v>80.413944336282995</v>
      </c>
      <c r="BE152" s="2">
        <f t="shared" si="4"/>
        <v>0.43881438216300239</v>
      </c>
      <c r="BF152" s="2">
        <f t="shared" si="5"/>
        <v>0.54273272689567476</v>
      </c>
      <c r="BG152">
        <v>1530807</v>
      </c>
      <c r="BH152" s="3">
        <v>251098</v>
      </c>
      <c r="BI152">
        <v>19.621492073588605</v>
      </c>
      <c r="BJ152" s="3">
        <v>813202</v>
      </c>
      <c r="BK152">
        <v>126071</v>
      </c>
      <c r="BL152">
        <v>18.347447575498705</v>
      </c>
      <c r="BM152" s="3">
        <v>590.83569999999997</v>
      </c>
      <c r="BN152">
        <v>37.413799999999924</v>
      </c>
      <c r="BO152">
        <v>6.7604480415393606</v>
      </c>
      <c r="BP152">
        <v>5942261499.5099897</v>
      </c>
      <c r="BQ152">
        <v>283980119.26713943</v>
      </c>
      <c r="BR152">
        <v>5.0188405309555524</v>
      </c>
      <c r="BS152">
        <v>0.39275169999999998</v>
      </c>
      <c r="BT152">
        <v>7.9475000000000004E-2</v>
      </c>
      <c r="BU152">
        <v>1.7311063722375599</v>
      </c>
    </row>
    <row r="153" spans="1:73" x14ac:dyDescent="0.2">
      <c r="A153">
        <v>152</v>
      </c>
      <c r="B153" t="s">
        <v>73</v>
      </c>
      <c r="C153">
        <v>2003</v>
      </c>
      <c r="D153">
        <v>6</v>
      </c>
      <c r="E153">
        <v>0</v>
      </c>
      <c r="F153" t="s">
        <v>74</v>
      </c>
      <c r="G153">
        <v>0.73424999999999996</v>
      </c>
      <c r="H153">
        <v>0</v>
      </c>
      <c r="I153">
        <v>0.41299999999999998</v>
      </c>
      <c r="J153">
        <v>0.47399999999999998</v>
      </c>
      <c r="K153">
        <v>1.5109999999999999</v>
      </c>
      <c r="L153">
        <v>1.53</v>
      </c>
      <c r="M153">
        <v>0.51100000000000001</v>
      </c>
      <c r="N153">
        <v>0.57699999999999996</v>
      </c>
      <c r="O153">
        <v>-1.5529999999999999</v>
      </c>
      <c r="P153">
        <v>5.13</v>
      </c>
      <c r="Q153">
        <v>0</v>
      </c>
      <c r="R153">
        <v>9831.2999999999993</v>
      </c>
      <c r="S153">
        <v>2.6749999999999998</v>
      </c>
      <c r="T153">
        <v>9.4499999999999993</v>
      </c>
      <c r="U153">
        <v>6.56</v>
      </c>
      <c r="V153">
        <v>49.3</v>
      </c>
      <c r="W153" t="s">
        <v>54</v>
      </c>
      <c r="X153" t="s">
        <v>55</v>
      </c>
      <c r="Y153" t="s">
        <v>59</v>
      </c>
      <c r="Z153">
        <v>0.85299999999999998</v>
      </c>
      <c r="AA153">
        <v>0.90400000000000003</v>
      </c>
      <c r="AB153">
        <v>57</v>
      </c>
      <c r="AC153">
        <v>8.1</v>
      </c>
      <c r="AE153">
        <v>-84.008899999999997</v>
      </c>
      <c r="AF153">
        <v>9.6370100000000001</v>
      </c>
      <c r="AG153" t="s">
        <v>57</v>
      </c>
      <c r="AH153" t="s">
        <v>58</v>
      </c>
      <c r="AI153">
        <v>8157.6509999999998</v>
      </c>
      <c r="AJ153">
        <v>4.3171799999999996</v>
      </c>
      <c r="AK153">
        <v>34000000000</v>
      </c>
      <c r="AN153">
        <v>-5.2090329999999998</v>
      </c>
      <c r="AO153">
        <v>53.812989999999999</v>
      </c>
      <c r="AP153">
        <v>83.327709999999996</v>
      </c>
      <c r="AQ153">
        <v>4.4835399999999996</v>
      </c>
      <c r="AR153">
        <v>14.49747</v>
      </c>
      <c r="AS153">
        <v>0.90030339999999998</v>
      </c>
      <c r="AT153">
        <v>2.2460149999999999</v>
      </c>
      <c r="AU153">
        <v>2.4118089999999999</v>
      </c>
      <c r="AV153">
        <v>2.2460149999999999</v>
      </c>
      <c r="AW153">
        <v>24.248709999999999</v>
      </c>
      <c r="AX153">
        <v>0.27999970000000002</v>
      </c>
      <c r="AY153">
        <v>1.3903446085437501</v>
      </c>
      <c r="AZ153" s="1">
        <v>0.14699999988079099</v>
      </c>
      <c r="BA153" s="1">
        <v>0.16949999332428001</v>
      </c>
      <c r="BB153" s="1">
        <v>0.31650000810623202</v>
      </c>
      <c r="BC153" s="1">
        <v>3.6795015000000002</v>
      </c>
      <c r="BD153" s="2">
        <v>83.327707534289999</v>
      </c>
      <c r="BE153" s="2">
        <f t="shared" si="4"/>
        <v>2.913763198007004</v>
      </c>
      <c r="BF153" s="2">
        <f t="shared" si="5"/>
        <v>3.6234551383550353</v>
      </c>
      <c r="BG153">
        <v>1859939</v>
      </c>
      <c r="BH153" s="3">
        <v>329132</v>
      </c>
      <c r="BI153">
        <v>21.500554936056602</v>
      </c>
      <c r="BJ153" s="3">
        <v>943166</v>
      </c>
      <c r="BK153">
        <v>129964</v>
      </c>
      <c r="BL153">
        <v>15.981760989274498</v>
      </c>
      <c r="BM153" s="3">
        <v>622.09860000000003</v>
      </c>
      <c r="BN153">
        <v>31.262900000000059</v>
      </c>
      <c r="BO153">
        <v>5.2913017950675734</v>
      </c>
      <c r="BP153">
        <v>6265122635.5641804</v>
      </c>
      <c r="BQ153">
        <v>322861136.05419064</v>
      </c>
      <c r="BR153">
        <v>5.4333040725456865</v>
      </c>
      <c r="BS153">
        <v>0.19159889999999999</v>
      </c>
      <c r="BT153">
        <v>1.004526</v>
      </c>
      <c r="BU153">
        <v>2.73563230124658</v>
      </c>
    </row>
    <row r="154" spans="1:73" x14ac:dyDescent="0.2">
      <c r="A154">
        <v>153</v>
      </c>
      <c r="B154" t="s">
        <v>73</v>
      </c>
      <c r="C154">
        <v>2004</v>
      </c>
      <c r="D154">
        <v>6</v>
      </c>
      <c r="E154">
        <v>0</v>
      </c>
      <c r="F154" t="s">
        <v>74</v>
      </c>
      <c r="G154">
        <v>0.73424999999999996</v>
      </c>
      <c r="H154">
        <v>0</v>
      </c>
      <c r="I154">
        <v>0.41299999999999998</v>
      </c>
      <c r="J154">
        <v>0.47399999999999998</v>
      </c>
      <c r="K154">
        <v>1.5109999999999999</v>
      </c>
      <c r="L154">
        <v>1.53</v>
      </c>
      <c r="M154">
        <v>0.51100000000000001</v>
      </c>
      <c r="N154">
        <v>0.57699999999999996</v>
      </c>
      <c r="O154">
        <v>-1.5529999999999999</v>
      </c>
      <c r="P154">
        <v>5.1079999999999997</v>
      </c>
      <c r="Q154">
        <v>0</v>
      </c>
      <c r="R154">
        <v>10086.799999999999</v>
      </c>
      <c r="S154">
        <v>2.8279999999999998</v>
      </c>
      <c r="T154">
        <v>12.31</v>
      </c>
      <c r="U154">
        <v>6.39</v>
      </c>
      <c r="V154">
        <v>48.3</v>
      </c>
      <c r="W154" t="s">
        <v>54</v>
      </c>
      <c r="X154" t="s">
        <v>55</v>
      </c>
      <c r="Y154" t="s">
        <v>59</v>
      </c>
      <c r="Z154">
        <v>0.85</v>
      </c>
      <c r="AA154">
        <v>0.9</v>
      </c>
      <c r="AB154">
        <v>57</v>
      </c>
      <c r="AC154">
        <v>8.1</v>
      </c>
      <c r="AE154">
        <v>-84.008899999999997</v>
      </c>
      <c r="AF154">
        <v>9.6370100000000001</v>
      </c>
      <c r="AG154" t="s">
        <v>57</v>
      </c>
      <c r="AH154" t="s">
        <v>58</v>
      </c>
      <c r="AI154">
        <v>8395.4009999999998</v>
      </c>
      <c r="AJ154">
        <v>4.4245999999999999</v>
      </c>
      <c r="AK154">
        <v>35500000000</v>
      </c>
      <c r="AN154">
        <v>-3.627183</v>
      </c>
      <c r="AO154">
        <v>52.363019999999999</v>
      </c>
      <c r="AP154">
        <v>85.256479999999996</v>
      </c>
      <c r="AQ154">
        <v>5.8231260000000002</v>
      </c>
      <c r="AR154">
        <v>13.97641</v>
      </c>
      <c r="AS154">
        <v>0.10742</v>
      </c>
      <c r="AT154">
        <v>2.5104120000000001</v>
      </c>
      <c r="AU154">
        <v>2.4118089999999999</v>
      </c>
      <c r="AV154">
        <v>2.5104120000000001</v>
      </c>
      <c r="AW154">
        <v>24.292010000000001</v>
      </c>
      <c r="AX154">
        <v>2.860001</v>
      </c>
      <c r="AY154">
        <v>1.3903446085437501</v>
      </c>
      <c r="AZ154" s="1">
        <v>0.14699999988079099</v>
      </c>
      <c r="BA154" s="1">
        <v>0.16949999332428001</v>
      </c>
      <c r="BB154" s="1">
        <v>0.31650000810623202</v>
      </c>
      <c r="BC154" s="1">
        <v>3.6795015000000002</v>
      </c>
      <c r="BD154" s="2">
        <v>85.256477195722994</v>
      </c>
      <c r="BE154" s="2">
        <f t="shared" si="4"/>
        <v>1.9287696614329946</v>
      </c>
      <c r="BF154" s="2">
        <f t="shared" si="5"/>
        <v>2.3146798568042817</v>
      </c>
      <c r="BG154">
        <v>2163946</v>
      </c>
      <c r="BH154" s="3">
        <v>304007</v>
      </c>
      <c r="BI154">
        <v>16.344998411238219</v>
      </c>
      <c r="BJ154" s="3">
        <v>994315</v>
      </c>
      <c r="BK154">
        <v>51149</v>
      </c>
      <c r="BL154">
        <v>5.4231174575843486</v>
      </c>
      <c r="BM154" s="3">
        <v>877.26350000000002</v>
      </c>
      <c r="BN154">
        <v>255.16489999999999</v>
      </c>
      <c r="BO154">
        <v>41.016793800854074</v>
      </c>
      <c r="BP154">
        <v>6330019208.5418701</v>
      </c>
      <c r="BQ154">
        <v>64896572.977689743</v>
      </c>
      <c r="BR154">
        <v>1.0358388295434497</v>
      </c>
      <c r="BS154">
        <v>0.52105809999999997</v>
      </c>
      <c r="BT154">
        <v>0.17880850000000001</v>
      </c>
      <c r="BU154">
        <v>2.9144408458989801</v>
      </c>
    </row>
    <row r="155" spans="1:73" x14ac:dyDescent="0.2">
      <c r="A155">
        <v>154</v>
      </c>
      <c r="B155" t="s">
        <v>73</v>
      </c>
      <c r="C155">
        <v>2005</v>
      </c>
      <c r="D155">
        <v>6</v>
      </c>
      <c r="E155">
        <v>0</v>
      </c>
      <c r="F155" t="s">
        <v>74</v>
      </c>
      <c r="G155">
        <v>0.73424999999999996</v>
      </c>
      <c r="H155">
        <v>0</v>
      </c>
      <c r="I155">
        <v>0.41299999999999998</v>
      </c>
      <c r="J155">
        <v>0.47399999999999998</v>
      </c>
      <c r="K155">
        <v>1.5109999999999999</v>
      </c>
      <c r="L155">
        <v>1.53</v>
      </c>
      <c r="M155">
        <v>0.51100000000000001</v>
      </c>
      <c r="N155">
        <v>0.57699999999999996</v>
      </c>
      <c r="O155">
        <v>-1.5529999999999999</v>
      </c>
      <c r="P155">
        <v>4.7759999999999998</v>
      </c>
      <c r="Q155">
        <v>0</v>
      </c>
      <c r="R155">
        <v>10308.4</v>
      </c>
      <c r="S155">
        <v>2.4079999999999999</v>
      </c>
      <c r="T155">
        <v>13.8</v>
      </c>
      <c r="U155">
        <v>6.57</v>
      </c>
      <c r="V155">
        <v>47.5</v>
      </c>
      <c r="W155" t="s">
        <v>54</v>
      </c>
      <c r="X155" t="s">
        <v>55</v>
      </c>
      <c r="Y155" t="s">
        <v>59</v>
      </c>
      <c r="Z155">
        <v>0.84699999999999998</v>
      </c>
      <c r="AA155">
        <v>0.9</v>
      </c>
      <c r="AB155">
        <v>57</v>
      </c>
      <c r="AC155">
        <v>8.1</v>
      </c>
      <c r="AE155">
        <v>-84.008899999999997</v>
      </c>
      <c r="AF155">
        <v>9.6370100000000001</v>
      </c>
      <c r="AG155" t="s">
        <v>57</v>
      </c>
      <c r="AH155" t="s">
        <v>58</v>
      </c>
      <c r="AI155">
        <v>8606.3340000000007</v>
      </c>
      <c r="AJ155">
        <v>3.9766659999999998</v>
      </c>
      <c r="AK155">
        <v>36900000000</v>
      </c>
      <c r="AL155">
        <v>35.860219999999998</v>
      </c>
      <c r="AN155">
        <v>-4.2915140000000003</v>
      </c>
      <c r="AO155">
        <v>51.034759999999999</v>
      </c>
      <c r="AP155">
        <v>89.222660000000005</v>
      </c>
      <c r="AQ155">
        <v>7.6284359999999998</v>
      </c>
      <c r="AR155">
        <v>13.512879999999999</v>
      </c>
      <c r="AS155">
        <v>0.44793319999999998</v>
      </c>
      <c r="AT155">
        <v>2.6246689999999999</v>
      </c>
      <c r="AU155">
        <v>2.4118089999999999</v>
      </c>
      <c r="AV155">
        <v>2.6246689999999999</v>
      </c>
      <c r="AW155">
        <v>24.331</v>
      </c>
      <c r="AX155">
        <v>1.49</v>
      </c>
      <c r="AY155">
        <v>1.3903446085437501</v>
      </c>
      <c r="AZ155" s="1">
        <v>0.14699999988079099</v>
      </c>
      <c r="BA155" s="1">
        <v>0.16949999332428001</v>
      </c>
      <c r="BB155" s="1">
        <v>0.31650000810623202</v>
      </c>
      <c r="BC155" s="1">
        <v>3.6795015000000002</v>
      </c>
      <c r="BD155" s="2">
        <v>89.222663892976996</v>
      </c>
      <c r="BE155" s="2">
        <f t="shared" si="4"/>
        <v>3.9661866972540025</v>
      </c>
      <c r="BF155" s="2">
        <f t="shared" si="5"/>
        <v>4.6520649547234303</v>
      </c>
      <c r="BG155">
        <v>2885113</v>
      </c>
      <c r="BH155" s="3">
        <v>721167</v>
      </c>
      <c r="BI155">
        <v>33.326478572016121</v>
      </c>
      <c r="BJ155" s="3">
        <v>1242516</v>
      </c>
      <c r="BK155">
        <v>248201</v>
      </c>
      <c r="BL155">
        <v>24.962009021286011</v>
      </c>
      <c r="BM155" s="3">
        <v>1379.1895999999999</v>
      </c>
      <c r="BN155">
        <v>501.92609999999991</v>
      </c>
      <c r="BO155">
        <v>57.214975888088347</v>
      </c>
      <c r="BP155">
        <v>6620428235.4106703</v>
      </c>
      <c r="BQ155">
        <v>290409026.86880016</v>
      </c>
      <c r="BR155">
        <v>4.5878064078686478</v>
      </c>
      <c r="BS155">
        <v>0.46352579999999999</v>
      </c>
      <c r="BT155">
        <v>0.4019625</v>
      </c>
      <c r="BU155">
        <v>2.51247829064067</v>
      </c>
    </row>
    <row r="156" spans="1:73" x14ac:dyDescent="0.2">
      <c r="A156">
        <v>155</v>
      </c>
      <c r="B156" t="s">
        <v>73</v>
      </c>
      <c r="C156">
        <v>2006</v>
      </c>
      <c r="D156">
        <v>6</v>
      </c>
      <c r="E156">
        <v>1</v>
      </c>
      <c r="F156" t="s">
        <v>74</v>
      </c>
      <c r="G156">
        <v>0.73424999999999996</v>
      </c>
      <c r="H156">
        <v>0</v>
      </c>
      <c r="I156">
        <v>8.8999999999999996E-2</v>
      </c>
      <c r="J156">
        <v>0.10199999999999999</v>
      </c>
      <c r="K156">
        <v>0.66300000000000003</v>
      </c>
      <c r="L156">
        <v>0.70899999999999996</v>
      </c>
      <c r="M156">
        <v>0.16400000000000001</v>
      </c>
      <c r="N156">
        <v>0.187</v>
      </c>
      <c r="O156">
        <v>-1.5529999999999999</v>
      </c>
      <c r="P156">
        <v>4.7539999999999996</v>
      </c>
      <c r="Q156">
        <v>1</v>
      </c>
      <c r="R156">
        <v>10880.5</v>
      </c>
      <c r="S156">
        <v>5.7590000000000003</v>
      </c>
      <c r="T156">
        <v>11.47</v>
      </c>
      <c r="U156">
        <v>5.74</v>
      </c>
      <c r="V156">
        <v>49.4</v>
      </c>
      <c r="W156" t="s">
        <v>54</v>
      </c>
      <c r="X156" t="s">
        <v>55</v>
      </c>
      <c r="Y156" t="s">
        <v>59</v>
      </c>
      <c r="Z156">
        <v>0.85499999999999998</v>
      </c>
      <c r="AA156">
        <v>0.90700000000000003</v>
      </c>
      <c r="AB156">
        <v>57</v>
      </c>
      <c r="AC156">
        <v>8.1</v>
      </c>
      <c r="AE156">
        <v>-84.008899999999997</v>
      </c>
      <c r="AF156">
        <v>9.6370100000000001</v>
      </c>
      <c r="AG156" t="s">
        <v>57</v>
      </c>
      <c r="AH156" t="s">
        <v>58</v>
      </c>
      <c r="AI156">
        <v>9109.5300000000007</v>
      </c>
      <c r="AJ156">
        <v>7.326695</v>
      </c>
      <c r="AK156">
        <v>39600000000</v>
      </c>
      <c r="AL156">
        <v>37.86298</v>
      </c>
      <c r="AN156">
        <v>-4.1324839999999998</v>
      </c>
      <c r="AO156">
        <v>49.80274</v>
      </c>
      <c r="AP156">
        <v>89.814549999999997</v>
      </c>
      <c r="AQ156">
        <v>7.9285040000000002</v>
      </c>
      <c r="AR156">
        <v>13.165039999999999</v>
      </c>
      <c r="AS156">
        <v>3.3500290000000001</v>
      </c>
      <c r="AT156">
        <v>2.4397350000000002</v>
      </c>
      <c r="AU156">
        <v>2.4118089999999999</v>
      </c>
      <c r="AV156">
        <v>2.4397350000000002</v>
      </c>
      <c r="AW156">
        <v>24.401710000000001</v>
      </c>
      <c r="AX156">
        <v>2.33</v>
      </c>
      <c r="AY156">
        <v>1.3903446085437501</v>
      </c>
      <c r="AZ156" s="1">
        <v>8.9499995112419101E-2</v>
      </c>
      <c r="BA156" s="1">
        <v>0.18549999594688399</v>
      </c>
      <c r="BB156" s="1">
        <v>0.27499997615814198</v>
      </c>
      <c r="BC156" s="1">
        <v>3.1946905000000001</v>
      </c>
      <c r="BD156" s="2">
        <v>89.814554614146999</v>
      </c>
      <c r="BE156" s="2">
        <f t="shared" si="4"/>
        <v>0.59189072117000308</v>
      </c>
      <c r="BF156" s="2">
        <f t="shared" si="5"/>
        <v>0.66338606733371996</v>
      </c>
      <c r="BG156">
        <v>3745877</v>
      </c>
      <c r="BH156" s="3">
        <v>860764</v>
      </c>
      <c r="BI156">
        <v>29.83467198685112</v>
      </c>
      <c r="BJ156" s="3">
        <v>1697748</v>
      </c>
      <c r="BK156">
        <v>455232</v>
      </c>
      <c r="BL156">
        <v>36.637918545918119</v>
      </c>
      <c r="BM156" s="3">
        <v>1582.0599</v>
      </c>
      <c r="BN156">
        <v>202.87030000000004</v>
      </c>
      <c r="BO156">
        <v>14.709384409511214</v>
      </c>
      <c r="BP156">
        <v>7128549347.0696697</v>
      </c>
      <c r="BQ156">
        <v>508121111.65899944</v>
      </c>
      <c r="BR156">
        <v>7.6750490087818362</v>
      </c>
      <c r="BS156">
        <v>0.34784029999999999</v>
      </c>
      <c r="BT156">
        <v>3.3343389999999999</v>
      </c>
      <c r="BU156">
        <v>5.8468172776368998</v>
      </c>
    </row>
    <row r="157" spans="1:73" x14ac:dyDescent="0.2">
      <c r="A157">
        <v>156</v>
      </c>
      <c r="B157" t="s">
        <v>73</v>
      </c>
      <c r="C157">
        <v>2007</v>
      </c>
      <c r="D157">
        <v>6</v>
      </c>
      <c r="E157">
        <v>0</v>
      </c>
      <c r="F157" t="s">
        <v>74</v>
      </c>
      <c r="G157">
        <v>0.73424999999999996</v>
      </c>
      <c r="H157">
        <v>0</v>
      </c>
      <c r="I157">
        <v>8.8999999999999996E-2</v>
      </c>
      <c r="J157">
        <v>0.10199999999999999</v>
      </c>
      <c r="K157">
        <v>0.66300000000000003</v>
      </c>
      <c r="L157">
        <v>0.70899999999999996</v>
      </c>
      <c r="M157">
        <v>0.16400000000000001</v>
      </c>
      <c r="N157">
        <v>0.187</v>
      </c>
      <c r="O157">
        <v>-1.5529999999999999</v>
      </c>
      <c r="P157">
        <v>4.43</v>
      </c>
      <c r="Q157">
        <v>0</v>
      </c>
      <c r="R157">
        <v>11584.7</v>
      </c>
      <c r="S157">
        <v>6.7140000000000004</v>
      </c>
      <c r="T157">
        <v>9.36</v>
      </c>
      <c r="U157">
        <v>4.49</v>
      </c>
      <c r="V157">
        <v>49.3</v>
      </c>
      <c r="W157" t="s">
        <v>54</v>
      </c>
      <c r="X157" t="s">
        <v>55</v>
      </c>
      <c r="Y157" t="s">
        <v>59</v>
      </c>
      <c r="Z157">
        <v>0.85899999999999999</v>
      </c>
      <c r="AA157">
        <v>0.90900000000000003</v>
      </c>
      <c r="AB157">
        <v>57</v>
      </c>
      <c r="AC157">
        <v>8.1</v>
      </c>
      <c r="AE157">
        <v>-84.008899999999997</v>
      </c>
      <c r="AF157">
        <v>9.6370100000000001</v>
      </c>
      <c r="AG157" t="s">
        <v>57</v>
      </c>
      <c r="AH157" t="s">
        <v>58</v>
      </c>
      <c r="AI157">
        <v>9725.3850000000002</v>
      </c>
      <c r="AJ157">
        <v>8.2151320000000005</v>
      </c>
      <c r="AK157">
        <v>42800000000</v>
      </c>
      <c r="AL157">
        <v>43.772379999999998</v>
      </c>
      <c r="AN157">
        <v>-5.5749510000000004</v>
      </c>
      <c r="AO157">
        <v>48.729810000000001</v>
      </c>
      <c r="AP157">
        <v>86.456599999999995</v>
      </c>
      <c r="AQ157">
        <v>8.3374260000000007</v>
      </c>
      <c r="AR157">
        <v>12.80527</v>
      </c>
      <c r="AS157">
        <v>0.88843629999999996</v>
      </c>
      <c r="AT157">
        <v>2.2364449999999998</v>
      </c>
      <c r="AU157">
        <v>2.4118089999999999</v>
      </c>
      <c r="AV157">
        <v>2.2364449999999998</v>
      </c>
      <c r="AW157">
        <v>24.48066</v>
      </c>
      <c r="AX157">
        <v>2.110001</v>
      </c>
      <c r="AY157">
        <v>1.3903446085437501</v>
      </c>
      <c r="AZ157" s="1">
        <v>8.9499995112419101E-2</v>
      </c>
      <c r="BA157" s="1">
        <v>0.18549999594688399</v>
      </c>
      <c r="BB157" s="1">
        <v>0.27499997615814198</v>
      </c>
      <c r="BC157" s="1">
        <v>3.1946905000000001</v>
      </c>
      <c r="BD157" s="2">
        <v>86.456595843602003</v>
      </c>
      <c r="BE157" s="2">
        <f t="shared" si="4"/>
        <v>3.3579587705449967</v>
      </c>
      <c r="BF157" s="2">
        <f t="shared" si="5"/>
        <v>3.7387690502626767</v>
      </c>
      <c r="BG157">
        <v>4956660</v>
      </c>
      <c r="BH157" s="3">
        <v>1210783</v>
      </c>
      <c r="BI157">
        <v>32.323084820991184</v>
      </c>
      <c r="BJ157" s="3">
        <v>2244058</v>
      </c>
      <c r="BK157">
        <v>546310</v>
      </c>
      <c r="BL157">
        <v>32.178509413646786</v>
      </c>
      <c r="BM157" s="3">
        <v>1811.8703</v>
      </c>
      <c r="BN157">
        <v>229.81040000000007</v>
      </c>
      <c r="BO157">
        <v>14.526023951431933</v>
      </c>
      <c r="BP157">
        <v>8481898753.6547203</v>
      </c>
      <c r="BQ157">
        <v>1353349406.5850506</v>
      </c>
      <c r="BR157">
        <v>18.984920222813237</v>
      </c>
      <c r="BS157">
        <v>0.3597727</v>
      </c>
      <c r="BT157">
        <v>0.91373539999999998</v>
      </c>
      <c r="BU157">
        <v>6.7605528911826003</v>
      </c>
    </row>
    <row r="158" spans="1:73" x14ac:dyDescent="0.2">
      <c r="A158">
        <v>157</v>
      </c>
      <c r="B158" t="s">
        <v>73</v>
      </c>
      <c r="C158">
        <v>2008</v>
      </c>
      <c r="D158">
        <v>6</v>
      </c>
      <c r="E158">
        <v>0</v>
      </c>
      <c r="F158" t="s">
        <v>74</v>
      </c>
      <c r="G158">
        <v>0.73424999999999996</v>
      </c>
      <c r="H158">
        <v>0</v>
      </c>
      <c r="I158">
        <v>8.8999999999999996E-2</v>
      </c>
      <c r="J158">
        <v>0.10199999999999999</v>
      </c>
      <c r="K158">
        <v>0.66300000000000003</v>
      </c>
      <c r="L158">
        <v>0.70899999999999996</v>
      </c>
      <c r="M158">
        <v>0.16400000000000001</v>
      </c>
      <c r="N158">
        <v>0.187</v>
      </c>
      <c r="O158">
        <v>-1.5529999999999999</v>
      </c>
      <c r="P158">
        <v>4.4109999999999996</v>
      </c>
      <c r="Q158">
        <v>0</v>
      </c>
      <c r="R158">
        <v>11935.2</v>
      </c>
      <c r="S158">
        <v>3.278</v>
      </c>
      <c r="T158">
        <v>13.42</v>
      </c>
      <c r="U158">
        <v>4.78</v>
      </c>
      <c r="V158">
        <v>48.6</v>
      </c>
      <c r="W158" t="s">
        <v>54</v>
      </c>
      <c r="X158" t="s">
        <v>55</v>
      </c>
      <c r="Y158" t="s">
        <v>59</v>
      </c>
      <c r="Z158">
        <v>0.85899999999999999</v>
      </c>
      <c r="AA158">
        <v>0.90900000000000003</v>
      </c>
      <c r="AB158">
        <v>57</v>
      </c>
      <c r="AC158">
        <v>8.1</v>
      </c>
      <c r="AE158">
        <v>-84.008899999999997</v>
      </c>
      <c r="AF158">
        <v>9.6370100000000001</v>
      </c>
      <c r="AG158" t="s">
        <v>57</v>
      </c>
      <c r="AH158" t="s">
        <v>58</v>
      </c>
      <c r="AI158">
        <v>10052.68</v>
      </c>
      <c r="AJ158">
        <v>4.738175</v>
      </c>
      <c r="AK158">
        <v>44900000000</v>
      </c>
      <c r="AL158">
        <v>49.380609999999997</v>
      </c>
      <c r="AN158">
        <v>-8.3779260000000004</v>
      </c>
      <c r="AO158">
        <v>47.794490000000003</v>
      </c>
      <c r="AP158">
        <v>86.401510000000002</v>
      </c>
      <c r="AQ158">
        <v>7.9090069999999999</v>
      </c>
      <c r="AR158">
        <v>13.57747</v>
      </c>
      <c r="AS158">
        <v>3.4769570000000001</v>
      </c>
      <c r="AT158">
        <v>2.596746</v>
      </c>
      <c r="AU158">
        <v>2.4118089999999999</v>
      </c>
      <c r="AV158">
        <v>2.596746</v>
      </c>
      <c r="AW158">
        <v>24.526949999999999</v>
      </c>
      <c r="AX158">
        <v>4.0599999999999996</v>
      </c>
      <c r="AY158">
        <v>1.3903446085437501</v>
      </c>
      <c r="AZ158" s="1">
        <v>8.9499995112419101E-2</v>
      </c>
      <c r="BA158" s="1">
        <v>0.18549999594688399</v>
      </c>
      <c r="BB158" s="1">
        <v>0.27499997615814198</v>
      </c>
      <c r="BC158" s="1">
        <v>3.1946905000000001</v>
      </c>
      <c r="BD158" s="2">
        <v>86.401512711006006</v>
      </c>
      <c r="BE158" s="2">
        <f t="shared" si="4"/>
        <v>5.5083132595996176E-2</v>
      </c>
      <c r="BF158" s="2">
        <f t="shared" si="5"/>
        <v>6.3711891566538545E-2</v>
      </c>
      <c r="BG158">
        <v>5588721</v>
      </c>
      <c r="BH158" s="3">
        <v>632061</v>
      </c>
      <c r="BI158">
        <v>12.751752187965282</v>
      </c>
      <c r="BJ158" s="3">
        <v>2512265</v>
      </c>
      <c r="BK158">
        <v>268207</v>
      </c>
      <c r="BL158">
        <v>11.951874684165917</v>
      </c>
      <c r="BM158" s="3">
        <v>2239.5066999999999</v>
      </c>
      <c r="BN158">
        <v>427.63639999999987</v>
      </c>
      <c r="BO158">
        <v>23.601932213359856</v>
      </c>
      <c r="BP158">
        <v>9303668294.8684902</v>
      </c>
      <c r="BQ158">
        <v>821769541.21376991</v>
      </c>
      <c r="BR158">
        <v>9.6885092015473759</v>
      </c>
      <c r="BS158">
        <v>0.77220630000000001</v>
      </c>
      <c r="BT158">
        <v>3.3951539999999998</v>
      </c>
      <c r="BU158">
        <v>3.36539868160486</v>
      </c>
    </row>
    <row r="159" spans="1:73" x14ac:dyDescent="0.2">
      <c r="A159">
        <v>158</v>
      </c>
      <c r="B159" t="s">
        <v>73</v>
      </c>
      <c r="C159">
        <v>2009</v>
      </c>
      <c r="D159">
        <v>6</v>
      </c>
      <c r="E159">
        <v>0</v>
      </c>
      <c r="F159" t="s">
        <v>74</v>
      </c>
      <c r="G159">
        <v>0.73424999999999996</v>
      </c>
      <c r="H159">
        <v>1</v>
      </c>
      <c r="I159">
        <v>8.8999999999999996E-2</v>
      </c>
      <c r="J159">
        <v>0.10199999999999999</v>
      </c>
      <c r="K159">
        <v>0.66300000000000003</v>
      </c>
      <c r="L159">
        <v>0.70899999999999996</v>
      </c>
      <c r="M159">
        <v>0.16400000000000001</v>
      </c>
      <c r="N159">
        <v>0.187</v>
      </c>
      <c r="O159">
        <v>-1.5529999999999999</v>
      </c>
      <c r="P159">
        <v>4.32</v>
      </c>
      <c r="Q159">
        <v>0</v>
      </c>
      <c r="R159">
        <v>11638</v>
      </c>
      <c r="S159">
        <v>-2.2330000000000001</v>
      </c>
      <c r="T159">
        <v>7.84</v>
      </c>
      <c r="U159">
        <v>7.71</v>
      </c>
      <c r="V159">
        <v>50.6</v>
      </c>
      <c r="W159" t="s">
        <v>54</v>
      </c>
      <c r="X159" t="s">
        <v>55</v>
      </c>
      <c r="Y159" t="s">
        <v>59</v>
      </c>
      <c r="Z159">
        <v>0.85799999999999998</v>
      </c>
      <c r="AA159">
        <v>0.90900000000000003</v>
      </c>
      <c r="AB159">
        <v>57</v>
      </c>
      <c r="AC159">
        <v>8.1</v>
      </c>
      <c r="AE159">
        <v>-84.008899999999997</v>
      </c>
      <c r="AF159">
        <v>9.6370100000000001</v>
      </c>
      <c r="AG159" t="s">
        <v>57</v>
      </c>
      <c r="AH159" t="s">
        <v>58</v>
      </c>
      <c r="AI159">
        <v>9837.8770000000004</v>
      </c>
      <c r="AJ159">
        <v>-0.87345589999999995</v>
      </c>
      <c r="AK159">
        <v>44500000000</v>
      </c>
      <c r="AL159">
        <v>47.653350000000003</v>
      </c>
      <c r="AN159">
        <v>-1.8232820000000001</v>
      </c>
      <c r="AO159">
        <v>46.959940000000003</v>
      </c>
      <c r="AP159">
        <v>69.759320000000002</v>
      </c>
      <c r="AQ159">
        <v>5.2515109999999998</v>
      </c>
      <c r="AR159">
        <v>15.74813</v>
      </c>
      <c r="AS159">
        <v>5.611631</v>
      </c>
      <c r="AT159">
        <v>2.0592389999999998</v>
      </c>
      <c r="AU159">
        <v>2.4118089999999999</v>
      </c>
      <c r="AV159">
        <v>2.0592389999999998</v>
      </c>
      <c r="AW159">
        <v>24.518180000000001</v>
      </c>
      <c r="AX159">
        <v>5.58</v>
      </c>
      <c r="AY159">
        <v>1.3903446085437501</v>
      </c>
      <c r="AZ159" s="1">
        <v>8.9499995112419101E-2</v>
      </c>
      <c r="BA159" s="1">
        <v>0.18549999594688399</v>
      </c>
      <c r="BB159" s="1">
        <v>0.27499997615814198</v>
      </c>
      <c r="BC159" s="1">
        <v>3.1946905000000001</v>
      </c>
      <c r="BD159" s="2">
        <v>69.759317724653002</v>
      </c>
      <c r="BE159" s="2">
        <f t="shared" si="4"/>
        <v>16.642194986353005</v>
      </c>
      <c r="BF159" s="2">
        <f t="shared" si="5"/>
        <v>19.261462518622185</v>
      </c>
      <c r="BG159">
        <v>5834367</v>
      </c>
      <c r="BH159" s="3">
        <v>245646</v>
      </c>
      <c r="BI159">
        <v>4.3953884976544719</v>
      </c>
      <c r="BJ159" s="3">
        <v>2561373</v>
      </c>
      <c r="BK159">
        <v>49108</v>
      </c>
      <c r="BL159">
        <v>1.9547300941580605</v>
      </c>
      <c r="BM159" s="3">
        <v>1340.318</v>
      </c>
      <c r="BN159">
        <v>899.18869999999993</v>
      </c>
      <c r="BO159">
        <v>40.151194903770552</v>
      </c>
      <c r="BP159">
        <v>8129642422.1348</v>
      </c>
      <c r="BQ159">
        <v>1174025872.7336903</v>
      </c>
      <c r="BR159">
        <v>12.618956690246934</v>
      </c>
      <c r="BS159">
        <v>2.1706530000000002</v>
      </c>
      <c r="BT159">
        <v>5.5022039999999999</v>
      </c>
      <c r="BU159">
        <v>-2.1368057982991102</v>
      </c>
    </row>
    <row r="160" spans="1:73" x14ac:dyDescent="0.2">
      <c r="A160">
        <v>159</v>
      </c>
      <c r="B160" t="s">
        <v>73</v>
      </c>
      <c r="C160">
        <v>2010</v>
      </c>
      <c r="D160">
        <v>6</v>
      </c>
      <c r="E160">
        <v>1</v>
      </c>
      <c r="F160" t="s">
        <v>74</v>
      </c>
      <c r="G160">
        <v>0.73424999999999996</v>
      </c>
      <c r="H160">
        <v>0</v>
      </c>
      <c r="I160">
        <v>0.36299999999999999</v>
      </c>
      <c r="J160">
        <v>0.41299999999999998</v>
      </c>
      <c r="K160">
        <v>1.339</v>
      </c>
      <c r="L160">
        <v>1.4279999999999999</v>
      </c>
      <c r="M160">
        <v>0.41599999999999998</v>
      </c>
      <c r="N160">
        <v>0.47799999999999998</v>
      </c>
      <c r="O160">
        <v>-1.5529999999999999</v>
      </c>
      <c r="P160">
        <v>4.327</v>
      </c>
      <c r="Q160">
        <v>1</v>
      </c>
      <c r="R160">
        <v>12031.6</v>
      </c>
      <c r="S160">
        <v>3.653</v>
      </c>
      <c r="T160">
        <v>5.66</v>
      </c>
      <c r="U160">
        <v>7.17</v>
      </c>
      <c r="V160">
        <v>48.2</v>
      </c>
      <c r="W160" t="s">
        <v>54</v>
      </c>
      <c r="X160" t="s">
        <v>55</v>
      </c>
      <c r="Y160" t="s">
        <v>59</v>
      </c>
      <c r="Z160">
        <v>0.86</v>
      </c>
      <c r="AA160">
        <v>0.91200000000000003</v>
      </c>
      <c r="AB160">
        <v>57</v>
      </c>
      <c r="AC160">
        <v>8.1</v>
      </c>
      <c r="AE160">
        <v>-84.008899999999997</v>
      </c>
      <c r="AF160">
        <v>9.6370100000000001</v>
      </c>
      <c r="AG160" t="s">
        <v>57</v>
      </c>
      <c r="AH160" t="s">
        <v>58</v>
      </c>
      <c r="AI160">
        <v>10236.98</v>
      </c>
      <c r="AJ160">
        <v>5.3603430000000003</v>
      </c>
      <c r="AK160">
        <v>46900000000</v>
      </c>
      <c r="AL160">
        <v>44.314129999999999</v>
      </c>
      <c r="AN160">
        <v>-3.2233640000000001</v>
      </c>
      <c r="AO160">
        <v>46.218359999999997</v>
      </c>
      <c r="AP160">
        <v>67.512090000000001</v>
      </c>
      <c r="AQ160">
        <v>5.0637119999999998</v>
      </c>
      <c r="AR160">
        <v>16.620709999999999</v>
      </c>
      <c r="AS160">
        <v>6.2337990000000003</v>
      </c>
      <c r="AT160">
        <v>1.7334240000000001</v>
      </c>
      <c r="AU160">
        <v>2.4118089999999999</v>
      </c>
      <c r="AV160">
        <v>1.7334240000000001</v>
      </c>
      <c r="AW160">
        <v>24.570399999999999</v>
      </c>
      <c r="AX160">
        <v>2.1800000000000002</v>
      </c>
      <c r="AY160">
        <v>1.3903446085437501</v>
      </c>
      <c r="AZ160" s="1">
        <v>7.0000000298023196E-2</v>
      </c>
      <c r="BA160" s="1">
        <v>0.125</v>
      </c>
      <c r="BB160" s="1">
        <v>0.19499999284744299</v>
      </c>
      <c r="BC160" s="1">
        <v>3.90036</v>
      </c>
      <c r="BD160" s="2">
        <v>67.512089683772999</v>
      </c>
      <c r="BE160" s="2">
        <f t="shared" si="4"/>
        <v>2.2472280408800032</v>
      </c>
      <c r="BF160" s="2">
        <f t="shared" si="5"/>
        <v>3.2214019777974849</v>
      </c>
      <c r="BG160">
        <v>6434730</v>
      </c>
      <c r="BH160" s="3">
        <v>600363</v>
      </c>
      <c r="BI160">
        <v>10.290113734703354</v>
      </c>
      <c r="BJ160" s="3">
        <v>3063740</v>
      </c>
      <c r="BK160">
        <v>502367</v>
      </c>
      <c r="BL160">
        <v>19.613191831099961</v>
      </c>
      <c r="BM160" s="3">
        <v>1589.2099000000001</v>
      </c>
      <c r="BN160">
        <v>248.89190000000008</v>
      </c>
      <c r="BO160">
        <v>18.569615568842625</v>
      </c>
      <c r="BP160">
        <v>8477267692.8366203</v>
      </c>
      <c r="BQ160">
        <v>347625270.70182037</v>
      </c>
      <c r="BR160">
        <v>4.2760216581645896</v>
      </c>
      <c r="BS160">
        <v>0.87258239999999998</v>
      </c>
      <c r="BT160">
        <v>6.193613</v>
      </c>
      <c r="BU160">
        <v>4.0568076790785597</v>
      </c>
    </row>
    <row r="161" spans="1:73" x14ac:dyDescent="0.2">
      <c r="A161">
        <v>160</v>
      </c>
      <c r="B161" t="s">
        <v>73</v>
      </c>
      <c r="C161">
        <v>2011</v>
      </c>
      <c r="D161">
        <v>6</v>
      </c>
      <c r="E161">
        <v>0</v>
      </c>
      <c r="F161" t="s">
        <v>74</v>
      </c>
      <c r="G161">
        <v>0.73424999999999996</v>
      </c>
      <c r="H161">
        <v>0</v>
      </c>
      <c r="I161">
        <v>0.36299999999999999</v>
      </c>
      <c r="J161">
        <v>0.41299999999999998</v>
      </c>
      <c r="K161">
        <v>1.339</v>
      </c>
      <c r="L161">
        <v>1.4279999999999999</v>
      </c>
      <c r="M161">
        <v>0.41599999999999998</v>
      </c>
      <c r="N161">
        <v>0.47799999999999998</v>
      </c>
      <c r="O161">
        <v>-1.5529999999999999</v>
      </c>
      <c r="P161">
        <v>5.351</v>
      </c>
      <c r="Q161">
        <v>0</v>
      </c>
      <c r="R161">
        <v>12366</v>
      </c>
      <c r="S161">
        <v>3.0529999999999999</v>
      </c>
      <c r="T161">
        <v>4.88</v>
      </c>
      <c r="U161">
        <v>10.14</v>
      </c>
      <c r="V161">
        <v>48.7</v>
      </c>
      <c r="W161" t="s">
        <v>54</v>
      </c>
      <c r="X161" t="s">
        <v>55</v>
      </c>
      <c r="Y161" t="s">
        <v>59</v>
      </c>
      <c r="Z161">
        <v>0.86099999999999999</v>
      </c>
      <c r="AA161">
        <v>0.91200000000000003</v>
      </c>
      <c r="AB161">
        <v>57</v>
      </c>
      <c r="AC161">
        <v>8.1</v>
      </c>
      <c r="AE161">
        <v>-84.008899999999997</v>
      </c>
      <c r="AF161">
        <v>9.6370100000000001</v>
      </c>
      <c r="AG161" t="s">
        <v>57</v>
      </c>
      <c r="AH161" t="s">
        <v>58</v>
      </c>
      <c r="AI161">
        <v>10559.21</v>
      </c>
      <c r="AJ161">
        <v>4.4031589999999996</v>
      </c>
      <c r="AK161">
        <v>48900000000</v>
      </c>
      <c r="AL161">
        <v>46.020040000000002</v>
      </c>
      <c r="AN161">
        <v>-5.2968169999999999</v>
      </c>
      <c r="AO161">
        <v>45.73312</v>
      </c>
      <c r="AP161">
        <v>68.639139999999998</v>
      </c>
      <c r="AQ161">
        <v>6.3917250000000001</v>
      </c>
      <c r="AR161">
        <v>16.961839999999999</v>
      </c>
      <c r="AS161">
        <v>0.95718429999999999</v>
      </c>
      <c r="AT161">
        <v>1.585145</v>
      </c>
      <c r="AU161">
        <v>2.4118089999999999</v>
      </c>
      <c r="AV161">
        <v>1.585145</v>
      </c>
      <c r="AW161">
        <v>24.613489999999999</v>
      </c>
      <c r="AX161">
        <v>0.77999969999999996</v>
      </c>
      <c r="AY161">
        <v>1.3903446085437501</v>
      </c>
      <c r="AZ161" s="1">
        <v>7.0000000298023196E-2</v>
      </c>
      <c r="BA161" s="1">
        <v>0.125</v>
      </c>
      <c r="BB161" s="1">
        <v>0.19499999284744299</v>
      </c>
      <c r="BC161" s="1">
        <v>3.90036</v>
      </c>
      <c r="BD161" s="2">
        <v>68.639146507318003</v>
      </c>
      <c r="BE161" s="2">
        <f t="shared" si="4"/>
        <v>1.1270568235450042</v>
      </c>
      <c r="BF161" s="2">
        <f t="shared" si="5"/>
        <v>1.6694148097387367</v>
      </c>
      <c r="BG161">
        <v>6877022</v>
      </c>
      <c r="BH161" s="3">
        <v>442292</v>
      </c>
      <c r="BI161">
        <v>6.8735129523694081</v>
      </c>
      <c r="BJ161" s="3">
        <v>3409290</v>
      </c>
      <c r="BK161">
        <v>345550</v>
      </c>
      <c r="BL161">
        <v>11.278698584083505</v>
      </c>
      <c r="BM161" s="3">
        <v>2328.2168999999999</v>
      </c>
      <c r="BN161">
        <v>739.00699999999983</v>
      </c>
      <c r="BO161">
        <v>46.501535133905207</v>
      </c>
      <c r="BP161">
        <v>8752190388.1273308</v>
      </c>
      <c r="BQ161">
        <v>274922695.29071045</v>
      </c>
      <c r="BR161">
        <v>3.243057848969698</v>
      </c>
      <c r="BS161">
        <v>0.34112550000000003</v>
      </c>
      <c r="BT161">
        <v>0.90914439999999996</v>
      </c>
      <c r="BU161">
        <v>3.1476630073787799</v>
      </c>
    </row>
    <row r="162" spans="1:73" x14ac:dyDescent="0.2">
      <c r="A162">
        <v>161</v>
      </c>
      <c r="B162" t="s">
        <v>73</v>
      </c>
      <c r="C162">
        <v>2012</v>
      </c>
      <c r="D162">
        <v>6</v>
      </c>
      <c r="E162">
        <v>0</v>
      </c>
      <c r="F162" t="s">
        <v>74</v>
      </c>
      <c r="G162">
        <v>0.73424999999999996</v>
      </c>
      <c r="H162">
        <v>0</v>
      </c>
      <c r="I162">
        <v>0.36299999999999999</v>
      </c>
      <c r="J162">
        <v>0.41299999999999998</v>
      </c>
      <c r="K162">
        <v>1.339</v>
      </c>
      <c r="L162">
        <v>1.4279999999999999</v>
      </c>
      <c r="M162">
        <v>0.41599999999999998</v>
      </c>
      <c r="N162">
        <v>0.47799999999999998</v>
      </c>
      <c r="O162">
        <v>-1.5529999999999999</v>
      </c>
      <c r="P162">
        <v>5.351</v>
      </c>
      <c r="Q162">
        <v>0</v>
      </c>
      <c r="R162">
        <v>12792</v>
      </c>
      <c r="S162">
        <v>3.569</v>
      </c>
      <c r="T162">
        <v>4.5</v>
      </c>
      <c r="U162">
        <v>9.7799999999999994</v>
      </c>
      <c r="V162">
        <v>48.6</v>
      </c>
      <c r="W162" t="s">
        <v>54</v>
      </c>
      <c r="X162" t="s">
        <v>55</v>
      </c>
      <c r="Y162" t="s">
        <v>59</v>
      </c>
      <c r="Z162">
        <v>0.86099999999999999</v>
      </c>
      <c r="AA162">
        <v>0.91100000000000003</v>
      </c>
      <c r="AB162">
        <v>57</v>
      </c>
      <c r="AC162">
        <v>8.1</v>
      </c>
      <c r="AE162">
        <v>-84.008899999999997</v>
      </c>
      <c r="AF162">
        <v>9.6370100000000001</v>
      </c>
      <c r="AG162" t="s">
        <v>57</v>
      </c>
      <c r="AH162" t="s">
        <v>58</v>
      </c>
      <c r="AI162">
        <v>10945.04</v>
      </c>
      <c r="AJ162">
        <v>4.8825919999999998</v>
      </c>
      <c r="AK162">
        <v>51300000000</v>
      </c>
      <c r="AL162">
        <v>47.451320000000003</v>
      </c>
      <c r="AN162">
        <v>-5.1048179999999999</v>
      </c>
      <c r="AO162">
        <v>45.306579999999997</v>
      </c>
      <c r="AP162">
        <v>67.048540000000003</v>
      </c>
      <c r="AQ162">
        <v>5.7086620000000003</v>
      </c>
      <c r="AR162">
        <v>16.790050000000001</v>
      </c>
      <c r="AS162">
        <v>0.4794331</v>
      </c>
      <c r="AT162">
        <v>1.5040770000000001</v>
      </c>
      <c r="AU162">
        <v>2.4118089999999999</v>
      </c>
      <c r="AV162">
        <v>1.5040770000000001</v>
      </c>
      <c r="AW162">
        <v>24.661159999999999</v>
      </c>
      <c r="AX162">
        <v>0.38000010000000001</v>
      </c>
      <c r="AY162">
        <v>1.3903446085437501</v>
      </c>
      <c r="AZ162" s="1">
        <v>7.0000000298023196E-2</v>
      </c>
      <c r="BA162" s="1">
        <v>0.125</v>
      </c>
      <c r="BB162" s="1">
        <v>0.19499999284744299</v>
      </c>
      <c r="BC162" s="1">
        <v>3.90036</v>
      </c>
      <c r="BD162" s="2">
        <v>67.048539295073994</v>
      </c>
      <c r="BE162" s="2">
        <f t="shared" si="4"/>
        <v>1.5906072122440094</v>
      </c>
      <c r="BF162" s="2">
        <f t="shared" si="5"/>
        <v>2.3173470143228339</v>
      </c>
      <c r="BG162">
        <v>7997948</v>
      </c>
      <c r="BH162" s="3">
        <v>1120926</v>
      </c>
      <c r="BI162">
        <v>16.299584325889899</v>
      </c>
      <c r="BJ162" s="3">
        <v>3862108</v>
      </c>
      <c r="BK162">
        <v>452818</v>
      </c>
      <c r="BL162">
        <v>13.281885671210135</v>
      </c>
      <c r="BM162" s="3">
        <v>1802.7348999999999</v>
      </c>
      <c r="BN162">
        <v>525.48199999999997</v>
      </c>
      <c r="BO162">
        <v>22.570147996090913</v>
      </c>
      <c r="BP162">
        <v>9503607341.2405701</v>
      </c>
      <c r="BQ162">
        <v>751416953.11323929</v>
      </c>
      <c r="BR162">
        <v>8.5854731191927005</v>
      </c>
      <c r="BS162">
        <v>0.1717873</v>
      </c>
      <c r="BT162">
        <v>0.50629590000000002</v>
      </c>
      <c r="BU162">
        <v>3.6539589543073601</v>
      </c>
    </row>
    <row r="163" spans="1:73" x14ac:dyDescent="0.2">
      <c r="A163">
        <v>162</v>
      </c>
      <c r="B163" t="s">
        <v>73</v>
      </c>
      <c r="C163">
        <v>2013</v>
      </c>
      <c r="D163">
        <v>6</v>
      </c>
      <c r="E163">
        <v>0</v>
      </c>
      <c r="F163" t="s">
        <v>74</v>
      </c>
      <c r="G163">
        <v>0.79744999999999999</v>
      </c>
      <c r="H163">
        <v>0</v>
      </c>
      <c r="I163">
        <v>0.36299999999999999</v>
      </c>
      <c r="J163">
        <v>0.41299999999999998</v>
      </c>
      <c r="K163">
        <v>1.339</v>
      </c>
      <c r="L163">
        <v>1.4279999999999999</v>
      </c>
      <c r="M163">
        <v>0.41599999999999998</v>
      </c>
      <c r="N163">
        <v>0.47799999999999998</v>
      </c>
      <c r="O163">
        <v>-1.5529999999999999</v>
      </c>
      <c r="P163">
        <v>4.165</v>
      </c>
      <c r="Q163">
        <v>0</v>
      </c>
      <c r="R163">
        <v>12916</v>
      </c>
      <c r="S163">
        <v>1.1020000000000001</v>
      </c>
      <c r="T163">
        <v>5.23</v>
      </c>
      <c r="U163">
        <v>8.77</v>
      </c>
      <c r="V163">
        <v>49.3</v>
      </c>
      <c r="W163" t="s">
        <v>54</v>
      </c>
      <c r="X163" t="s">
        <v>55</v>
      </c>
      <c r="Y163" t="s">
        <v>59</v>
      </c>
      <c r="Z163">
        <v>0.85899999999999999</v>
      </c>
      <c r="AA163">
        <v>0.91200000000000003</v>
      </c>
      <c r="AB163">
        <v>57</v>
      </c>
      <c r="AC163">
        <v>8.1</v>
      </c>
      <c r="AE163">
        <v>-84.008899999999997</v>
      </c>
      <c r="AF163">
        <v>9.6370100000000001</v>
      </c>
      <c r="AG163" t="s">
        <v>57</v>
      </c>
      <c r="AH163" t="s">
        <v>58</v>
      </c>
      <c r="AI163">
        <v>11090.09</v>
      </c>
      <c r="AJ163">
        <v>2.4947659999999998</v>
      </c>
      <c r="AK163">
        <v>52600000000</v>
      </c>
      <c r="AL163">
        <v>49.72992</v>
      </c>
      <c r="AN163">
        <v>-4.771706</v>
      </c>
      <c r="AO163">
        <v>44.960079999999998</v>
      </c>
      <c r="AP163">
        <v>64.066410000000005</v>
      </c>
      <c r="AQ163">
        <v>6.291277</v>
      </c>
      <c r="AR163">
        <v>17.130189999999999</v>
      </c>
      <c r="AS163">
        <v>2.387826</v>
      </c>
      <c r="AT163">
        <v>1.6544110000000001</v>
      </c>
      <c r="AU163">
        <v>2.4118089999999999</v>
      </c>
      <c r="AV163">
        <v>1.6544110000000001</v>
      </c>
      <c r="AW163">
        <v>24.6858</v>
      </c>
      <c r="AX163">
        <v>0.73</v>
      </c>
      <c r="AY163">
        <v>1.3903446085437501</v>
      </c>
      <c r="AZ163" s="1">
        <v>7.0000000298023196E-2</v>
      </c>
      <c r="BA163" s="1">
        <v>0.125</v>
      </c>
      <c r="BB163" s="1">
        <v>0.19499999284744299</v>
      </c>
      <c r="BC163" s="1">
        <v>3.90036</v>
      </c>
      <c r="BD163" s="2">
        <v>64.066410587920998</v>
      </c>
      <c r="BE163" s="2">
        <f t="shared" si="4"/>
        <v>2.9821287071529952</v>
      </c>
      <c r="BF163" s="2">
        <f t="shared" si="5"/>
        <v>4.4477161449094984</v>
      </c>
      <c r="BG163">
        <v>9145243</v>
      </c>
      <c r="BH163" s="3">
        <v>1147295</v>
      </c>
      <c r="BI163">
        <v>14.344866958374823</v>
      </c>
      <c r="BJ163" s="3">
        <v>4351732</v>
      </c>
      <c r="BK163">
        <v>489624</v>
      </c>
      <c r="BL163">
        <v>12.677636151034616</v>
      </c>
      <c r="BM163" s="3">
        <v>2401.4511000000002</v>
      </c>
      <c r="BN163">
        <v>598.7162000000003</v>
      </c>
      <c r="BO163">
        <v>33.21154985128431</v>
      </c>
      <c r="BP163">
        <v>9963385153.4230595</v>
      </c>
      <c r="BQ163">
        <v>459777812.1824894</v>
      </c>
      <c r="BR163">
        <v>4.8379293848484224</v>
      </c>
      <c r="BS163">
        <v>0.34014129999999998</v>
      </c>
      <c r="BT163">
        <v>2.3286690000000001</v>
      </c>
      <c r="BU163">
        <v>1.3252897323198201</v>
      </c>
    </row>
    <row r="164" spans="1:73" x14ac:dyDescent="0.2">
      <c r="A164">
        <v>163</v>
      </c>
      <c r="B164" t="s">
        <v>73</v>
      </c>
      <c r="C164">
        <v>2014</v>
      </c>
      <c r="D164">
        <v>6</v>
      </c>
      <c r="E164">
        <v>1</v>
      </c>
      <c r="F164" t="s">
        <v>74</v>
      </c>
      <c r="G164">
        <v>0.80657999999999996</v>
      </c>
      <c r="H164">
        <v>0</v>
      </c>
      <c r="I164">
        <v>1.3440000000000001</v>
      </c>
      <c r="J164">
        <v>1.2729999999999999</v>
      </c>
      <c r="K164">
        <v>2.577</v>
      </c>
      <c r="L164">
        <v>2.508</v>
      </c>
      <c r="M164">
        <v>0.71399999999999997</v>
      </c>
      <c r="N164">
        <v>0.72199999999999998</v>
      </c>
      <c r="O164">
        <v>-1.5529999999999999</v>
      </c>
      <c r="P164">
        <v>4.165</v>
      </c>
      <c r="Q164">
        <v>1</v>
      </c>
      <c r="R164">
        <v>13222</v>
      </c>
      <c r="S164">
        <v>2.3650000000000002</v>
      </c>
      <c r="T164">
        <v>4.5199999999999996</v>
      </c>
      <c r="U164">
        <v>9.06</v>
      </c>
      <c r="V164">
        <v>48.6</v>
      </c>
      <c r="W164" t="s">
        <v>54</v>
      </c>
      <c r="X164" t="s">
        <v>55</v>
      </c>
      <c r="Y164" t="s">
        <v>59</v>
      </c>
      <c r="Z164">
        <v>0.85799999999999998</v>
      </c>
      <c r="AA164">
        <v>0.90900000000000003</v>
      </c>
      <c r="AB164">
        <v>57</v>
      </c>
      <c r="AC164">
        <v>8.1</v>
      </c>
      <c r="AE164">
        <v>-84.008899999999997</v>
      </c>
      <c r="AF164">
        <v>9.6370100000000001</v>
      </c>
      <c r="AG164" t="s">
        <v>57</v>
      </c>
      <c r="AH164" t="s">
        <v>58</v>
      </c>
      <c r="AI164">
        <v>11355.33</v>
      </c>
      <c r="AJ164">
        <v>3.5421100000000001</v>
      </c>
      <c r="AK164">
        <v>54500000000</v>
      </c>
      <c r="AL164">
        <v>53.09845</v>
      </c>
      <c r="AN164">
        <v>-4.716005</v>
      </c>
      <c r="AO164">
        <v>44.716079999999998</v>
      </c>
      <c r="AP164">
        <v>65.191239999999993</v>
      </c>
      <c r="AQ164">
        <v>6.2329359999999996</v>
      </c>
      <c r="AR164">
        <v>17.011299999999999</v>
      </c>
      <c r="AS164">
        <v>1.0473440000000001</v>
      </c>
      <c r="AT164">
        <v>1.5085120000000001</v>
      </c>
      <c r="AU164">
        <v>2.4118089999999999</v>
      </c>
      <c r="AV164">
        <v>1.5085120000000001</v>
      </c>
      <c r="AW164">
        <v>24.720610000000001</v>
      </c>
      <c r="AX164">
        <v>0.71</v>
      </c>
      <c r="AY164">
        <v>1.3903446085437501</v>
      </c>
      <c r="AZ164" s="1">
        <v>4.35000024735928E-2</v>
      </c>
      <c r="BA164" s="1">
        <v>0.22349999845027901</v>
      </c>
      <c r="BB164" s="1">
        <v>0.26699998974800099</v>
      </c>
      <c r="BC164" s="1">
        <v>4.9152803</v>
      </c>
      <c r="BD164" s="2">
        <v>65.191242053222993</v>
      </c>
      <c r="BE164" s="2">
        <f t="shared" si="4"/>
        <v>1.1248314653019946</v>
      </c>
      <c r="BF164" s="2">
        <f t="shared" si="5"/>
        <v>1.7557273069923929</v>
      </c>
      <c r="BG164">
        <v>10218234</v>
      </c>
      <c r="BH164" s="3">
        <v>1072991</v>
      </c>
      <c r="BI164">
        <v>11.732777357583609</v>
      </c>
      <c r="BJ164" s="3">
        <v>4732710</v>
      </c>
      <c r="BK164">
        <v>380978</v>
      </c>
      <c r="BL164">
        <v>8.7546291913196868</v>
      </c>
      <c r="BM164" s="3">
        <v>2817.7393000000002</v>
      </c>
      <c r="BN164">
        <v>416.28819999999996</v>
      </c>
      <c r="BO164">
        <v>17.33486057659054</v>
      </c>
      <c r="BP164">
        <v>10351214086.995199</v>
      </c>
      <c r="BQ164">
        <v>387828933.57213974</v>
      </c>
      <c r="BR164">
        <v>3.8925418178669497</v>
      </c>
      <c r="BS164">
        <v>0.1188869</v>
      </c>
      <c r="BT164">
        <v>1.066419</v>
      </c>
      <c r="BU164">
        <v>2.3917091652731099</v>
      </c>
    </row>
    <row r="165" spans="1:73" x14ac:dyDescent="0.2">
      <c r="A165">
        <v>164</v>
      </c>
      <c r="B165" t="s">
        <v>73</v>
      </c>
      <c r="C165">
        <v>2015</v>
      </c>
      <c r="D165">
        <v>6</v>
      </c>
      <c r="E165">
        <v>0</v>
      </c>
      <c r="F165" t="s">
        <v>74</v>
      </c>
      <c r="G165">
        <v>0.81569999999999998</v>
      </c>
      <c r="H165">
        <v>0</v>
      </c>
      <c r="I165">
        <v>1.3440000000000001</v>
      </c>
      <c r="J165">
        <v>1.2729999999999999</v>
      </c>
      <c r="K165">
        <v>2.577</v>
      </c>
      <c r="L165">
        <v>2.508</v>
      </c>
      <c r="M165">
        <v>0.71399999999999997</v>
      </c>
      <c r="N165">
        <v>0.72199999999999998</v>
      </c>
      <c r="O165">
        <v>-1.5529999999999999</v>
      </c>
      <c r="P165">
        <v>5.73</v>
      </c>
      <c r="Q165">
        <v>0</v>
      </c>
      <c r="R165">
        <v>13677</v>
      </c>
      <c r="S165">
        <v>2.5110000000000001</v>
      </c>
      <c r="T165">
        <v>0.8</v>
      </c>
      <c r="U165">
        <v>9</v>
      </c>
      <c r="V165">
        <v>48.4</v>
      </c>
      <c r="W165" t="s">
        <v>54</v>
      </c>
      <c r="X165" t="s">
        <v>55</v>
      </c>
      <c r="Y165" t="s">
        <v>59</v>
      </c>
      <c r="Z165">
        <v>0.86</v>
      </c>
      <c r="AA165">
        <v>0.90900000000000003</v>
      </c>
      <c r="AB165">
        <v>57</v>
      </c>
      <c r="AC165">
        <v>8.1</v>
      </c>
      <c r="AE165">
        <v>-84.008899999999997</v>
      </c>
      <c r="AF165">
        <v>9.6370100000000001</v>
      </c>
      <c r="AG165" t="s">
        <v>57</v>
      </c>
      <c r="AH165" t="s">
        <v>58</v>
      </c>
      <c r="AI165">
        <v>11642.78</v>
      </c>
      <c r="AJ165">
        <v>3.6520809999999999</v>
      </c>
      <c r="AK165">
        <v>56400000000</v>
      </c>
      <c r="AL165">
        <v>55.127249999999997</v>
      </c>
      <c r="AN165">
        <v>-3.4039649999999999</v>
      </c>
      <c r="AO165">
        <v>44.577159999999999</v>
      </c>
      <c r="AP165">
        <v>60.75356</v>
      </c>
      <c r="AQ165">
        <v>5.2363949999999999</v>
      </c>
      <c r="AR165">
        <v>16.960239999999999</v>
      </c>
      <c r="AS165">
        <v>0.109971</v>
      </c>
      <c r="AT165">
        <v>-0.22314349999999999</v>
      </c>
      <c r="AU165">
        <v>2.4118089999999999</v>
      </c>
      <c r="AV165">
        <v>-0.22314349999999999</v>
      </c>
      <c r="AW165">
        <v>24.75648</v>
      </c>
      <c r="AX165">
        <v>3.72</v>
      </c>
      <c r="AY165">
        <v>1.3903446085437501</v>
      </c>
      <c r="AZ165" s="1">
        <v>4.35000024735928E-2</v>
      </c>
      <c r="BA165" s="1">
        <v>0.22349999845027901</v>
      </c>
      <c r="BB165" s="1">
        <v>0.26699998974800099</v>
      </c>
      <c r="BC165" s="1">
        <v>4.9152803</v>
      </c>
      <c r="BD165" s="2">
        <v>60.753561939576002</v>
      </c>
      <c r="BE165" s="2">
        <f t="shared" si="4"/>
        <v>4.4376801136469908</v>
      </c>
      <c r="BF165" s="2">
        <f t="shared" si="5"/>
        <v>6.8071722119115474</v>
      </c>
      <c r="BG165">
        <v>10842266</v>
      </c>
      <c r="BH165" s="3">
        <v>624032</v>
      </c>
      <c r="BI165">
        <v>6.1070435458808241</v>
      </c>
      <c r="BJ165" s="3">
        <v>5493766</v>
      </c>
      <c r="BK165">
        <v>761056</v>
      </c>
      <c r="BL165">
        <v>16.080765565606175</v>
      </c>
      <c r="BM165" s="3">
        <v>2541.3089</v>
      </c>
      <c r="BN165">
        <v>276.43040000000019</v>
      </c>
      <c r="BO165">
        <v>9.8103610933772387</v>
      </c>
      <c r="BP165">
        <v>10717714116.017099</v>
      </c>
      <c r="BQ165">
        <v>366500029.02190018</v>
      </c>
      <c r="BR165">
        <v>3.5406477534104366</v>
      </c>
      <c r="BS165">
        <v>5.1061599999999999E-2</v>
      </c>
      <c r="BT165">
        <v>0.1396742</v>
      </c>
      <c r="BU165">
        <v>2.5313832865133201</v>
      </c>
    </row>
    <row r="166" spans="1:73" x14ac:dyDescent="0.2">
      <c r="A166">
        <v>165</v>
      </c>
      <c r="B166" t="s">
        <v>73</v>
      </c>
      <c r="C166">
        <v>2016</v>
      </c>
      <c r="D166">
        <v>6</v>
      </c>
      <c r="E166">
        <v>0</v>
      </c>
      <c r="F166" t="s">
        <v>74</v>
      </c>
      <c r="G166">
        <v>0.82482999999999995</v>
      </c>
      <c r="H166">
        <v>0</v>
      </c>
      <c r="I166">
        <v>1.3440000000000001</v>
      </c>
      <c r="J166">
        <v>1.2729999999999999</v>
      </c>
      <c r="K166">
        <v>2.577</v>
      </c>
      <c r="L166">
        <v>2.508</v>
      </c>
      <c r="M166">
        <v>0.71399999999999997</v>
      </c>
      <c r="N166">
        <v>0.72199999999999998</v>
      </c>
      <c r="O166">
        <v>-1.5529999999999999</v>
      </c>
      <c r="P166">
        <v>6.1950000000000003</v>
      </c>
      <c r="Q166">
        <v>0</v>
      </c>
      <c r="R166">
        <v>14098</v>
      </c>
      <c r="S166">
        <v>3.149</v>
      </c>
      <c r="T166">
        <v>-0.02</v>
      </c>
      <c r="U166">
        <v>8.6</v>
      </c>
      <c r="V166">
        <v>48.7</v>
      </c>
      <c r="W166" t="s">
        <v>54</v>
      </c>
      <c r="X166" t="s">
        <v>55</v>
      </c>
      <c r="Y166" t="s">
        <v>59</v>
      </c>
      <c r="Z166">
        <v>0.85699999999999998</v>
      </c>
      <c r="AA166">
        <v>0.90700000000000003</v>
      </c>
      <c r="AB166">
        <v>57</v>
      </c>
      <c r="AC166">
        <v>8.1</v>
      </c>
      <c r="AE166">
        <v>-84.008899999999997</v>
      </c>
      <c r="AF166">
        <v>9.6370100000000001</v>
      </c>
      <c r="AG166" t="s">
        <v>57</v>
      </c>
      <c r="AH166" t="s">
        <v>58</v>
      </c>
      <c r="AI166">
        <v>12004.67</v>
      </c>
      <c r="AJ166">
        <v>4.2043229999999996</v>
      </c>
      <c r="AK166">
        <v>58800000000</v>
      </c>
      <c r="AL166">
        <v>58.63805</v>
      </c>
      <c r="AN166">
        <v>-2.1365159999999999</v>
      </c>
      <c r="AO166">
        <v>44.54224</v>
      </c>
      <c r="AP166">
        <v>62.17848</v>
      </c>
      <c r="AQ166">
        <v>4.4529620000000003</v>
      </c>
      <c r="AR166">
        <v>16.708680000000001</v>
      </c>
      <c r="AS166">
        <v>0.55224229999999996</v>
      </c>
      <c r="AU166">
        <v>2.4118089999999999</v>
      </c>
      <c r="AW166">
        <v>24.79766</v>
      </c>
      <c r="AX166">
        <v>0.82</v>
      </c>
      <c r="AY166">
        <v>1.3903446085437501</v>
      </c>
      <c r="AZ166" s="1">
        <v>4.35000024735928E-2</v>
      </c>
      <c r="BA166" s="1">
        <v>0.22349999845027901</v>
      </c>
      <c r="BB166" s="1">
        <v>0.26699998974800099</v>
      </c>
      <c r="BC166" s="1">
        <v>4.9152803</v>
      </c>
      <c r="BD166" s="2">
        <v>62.178478176605999</v>
      </c>
      <c r="BE166" s="2">
        <f t="shared" si="4"/>
        <v>1.424916237029997</v>
      </c>
      <c r="BF166" s="2">
        <f t="shared" si="5"/>
        <v>2.3454036134493377</v>
      </c>
      <c r="BG166">
        <v>11070951</v>
      </c>
      <c r="BH166" s="3">
        <v>228685</v>
      </c>
      <c r="BI166">
        <v>2.1091993131325131</v>
      </c>
      <c r="BJ166" s="3">
        <v>6017765</v>
      </c>
      <c r="BK166">
        <v>523999</v>
      </c>
      <c r="BL166">
        <v>9.5380655091607469</v>
      </c>
      <c r="BM166" s="3">
        <v>2127.0349999999999</v>
      </c>
      <c r="BN166">
        <v>414.27390000000014</v>
      </c>
      <c r="BO166">
        <v>16.301595606893759</v>
      </c>
      <c r="BP166">
        <v>11360655486.0268</v>
      </c>
      <c r="BQ166">
        <v>642941370.00970078</v>
      </c>
      <c r="BR166">
        <v>5.9988665777981183</v>
      </c>
      <c r="BS166">
        <v>0.25156210000000001</v>
      </c>
      <c r="BT166">
        <v>0.57692359999999998</v>
      </c>
      <c r="BU166">
        <v>3.1083067749371498</v>
      </c>
    </row>
    <row r="167" spans="1:73" x14ac:dyDescent="0.2">
      <c r="A167">
        <v>166</v>
      </c>
      <c r="B167" t="s">
        <v>73</v>
      </c>
      <c r="C167">
        <v>2017</v>
      </c>
      <c r="D167">
        <v>6</v>
      </c>
      <c r="E167">
        <v>0</v>
      </c>
      <c r="F167" t="s">
        <v>74</v>
      </c>
      <c r="G167">
        <v>0.83396000000000003</v>
      </c>
      <c r="H167">
        <v>0</v>
      </c>
      <c r="I167">
        <v>1.3440000000000001</v>
      </c>
      <c r="J167">
        <v>1.2729999999999999</v>
      </c>
      <c r="K167">
        <v>2.577</v>
      </c>
      <c r="L167">
        <v>2.508</v>
      </c>
      <c r="M167">
        <v>0.71399999999999997</v>
      </c>
      <c r="N167">
        <v>0.72199999999999998</v>
      </c>
      <c r="O167">
        <v>-1.5529999999999999</v>
      </c>
      <c r="P167">
        <v>5.1479999999999997</v>
      </c>
      <c r="Q167">
        <v>0</v>
      </c>
      <c r="R167">
        <v>14470.8</v>
      </c>
      <c r="S167">
        <v>2.798</v>
      </c>
      <c r="T167">
        <v>1.63</v>
      </c>
      <c r="U167">
        <v>8.14</v>
      </c>
      <c r="V167">
        <v>48.3</v>
      </c>
      <c r="W167" t="s">
        <v>54</v>
      </c>
      <c r="X167" t="s">
        <v>55</v>
      </c>
      <c r="Y167" t="s">
        <v>59</v>
      </c>
      <c r="Z167">
        <v>0.85099999999999998</v>
      </c>
      <c r="AA167">
        <v>0.89900000000000002</v>
      </c>
      <c r="AB167">
        <v>57</v>
      </c>
      <c r="AC167">
        <v>8.1</v>
      </c>
      <c r="AE167">
        <v>-84.008899999999997</v>
      </c>
      <c r="AF167">
        <v>9.6370100000000001</v>
      </c>
      <c r="AG167" t="s">
        <v>57</v>
      </c>
      <c r="AH167" t="s">
        <v>58</v>
      </c>
      <c r="AI167">
        <v>12375.92</v>
      </c>
      <c r="AJ167">
        <v>4.157699</v>
      </c>
      <c r="AK167">
        <v>61300000000</v>
      </c>
      <c r="AL167">
        <v>59.68591</v>
      </c>
      <c r="AN167">
        <v>-3.6167660000000001</v>
      </c>
      <c r="AO167">
        <v>44.56691</v>
      </c>
      <c r="AP167">
        <v>65.071950000000001</v>
      </c>
      <c r="AQ167">
        <v>4.8332750000000004</v>
      </c>
      <c r="AR167">
        <v>16.358180000000001</v>
      </c>
      <c r="AS167">
        <v>4.6624199999999998E-2</v>
      </c>
      <c r="AT167">
        <v>0.48858000000000001</v>
      </c>
      <c r="AU167">
        <v>2.4118089999999999</v>
      </c>
      <c r="AV167">
        <v>0.48858000000000001</v>
      </c>
      <c r="AW167">
        <v>24.8384</v>
      </c>
      <c r="AX167">
        <v>1.65</v>
      </c>
      <c r="AY167">
        <v>1.3903446085437501</v>
      </c>
      <c r="AZ167" s="1">
        <v>4.35000024735928E-2</v>
      </c>
      <c r="BA167" s="1">
        <v>0.22349999845027901</v>
      </c>
      <c r="BB167" s="1">
        <v>0.26699998974800099</v>
      </c>
      <c r="BC167" s="1" t="s">
        <v>101</v>
      </c>
      <c r="BD167" s="2">
        <v>65.071953743726993</v>
      </c>
      <c r="BE167" s="2">
        <f t="shared" si="4"/>
        <v>2.8934755671209942</v>
      </c>
      <c r="BF167" s="2">
        <f t="shared" si="5"/>
        <v>4.6535001369808917</v>
      </c>
      <c r="BG167">
        <v>10955742</v>
      </c>
      <c r="BH167" s="3">
        <v>115209</v>
      </c>
      <c r="BI167">
        <v>1.0406423079643294</v>
      </c>
      <c r="BJ167" s="3">
        <v>6024596</v>
      </c>
      <c r="BK167">
        <v>6831</v>
      </c>
      <c r="BL167">
        <v>0.11351390424850422</v>
      </c>
      <c r="BM167" s="3">
        <v>2652.0933</v>
      </c>
      <c r="BN167">
        <v>525.05830000000014</v>
      </c>
      <c r="BO167">
        <v>24.684986377751198</v>
      </c>
      <c r="BP167">
        <v>11369573792.624001</v>
      </c>
      <c r="BQ167">
        <v>8918306.5972003937</v>
      </c>
      <c r="BR167">
        <v>7.8501690401311719E-2</v>
      </c>
      <c r="BS167">
        <v>0.35050389999999998</v>
      </c>
      <c r="BT167">
        <v>1.57406E-2</v>
      </c>
      <c r="BU167">
        <v>3.0925663375560402</v>
      </c>
    </row>
    <row r="168" spans="1:73" x14ac:dyDescent="0.2">
      <c r="A168">
        <v>167</v>
      </c>
      <c r="B168" t="s">
        <v>73</v>
      </c>
      <c r="C168">
        <v>2018</v>
      </c>
      <c r="D168">
        <v>6</v>
      </c>
      <c r="E168">
        <v>1</v>
      </c>
      <c r="F168" t="s">
        <v>74</v>
      </c>
      <c r="G168">
        <v>0.84308000000000005</v>
      </c>
      <c r="H168">
        <v>0</v>
      </c>
      <c r="O168">
        <v>-0.88300000000000001</v>
      </c>
      <c r="P168">
        <v>5.258</v>
      </c>
      <c r="Q168">
        <v>1</v>
      </c>
      <c r="R168">
        <v>14686.3</v>
      </c>
      <c r="S168">
        <v>1.6439999999999999</v>
      </c>
      <c r="T168">
        <v>2.2200000000000002</v>
      </c>
      <c r="U168">
        <v>9.6300000000000008</v>
      </c>
      <c r="V168">
        <v>48</v>
      </c>
      <c r="W168" t="s">
        <v>54</v>
      </c>
      <c r="X168" t="s">
        <v>55</v>
      </c>
      <c r="Y168" t="s">
        <v>59</v>
      </c>
      <c r="Z168">
        <v>0.83899999999999997</v>
      </c>
      <c r="AA168">
        <v>0.89500000000000002</v>
      </c>
      <c r="AB168">
        <v>57</v>
      </c>
      <c r="AC168">
        <v>8.1</v>
      </c>
      <c r="AE168">
        <v>-84.008899999999997</v>
      </c>
      <c r="AF168">
        <v>9.6370100000000001</v>
      </c>
      <c r="AG168" t="s">
        <v>57</v>
      </c>
      <c r="AH168" t="s">
        <v>58</v>
      </c>
      <c r="AI168">
        <v>12573.96</v>
      </c>
      <c r="AJ168">
        <v>2.615904</v>
      </c>
      <c r="AK168">
        <v>62900000000</v>
      </c>
      <c r="AL168">
        <v>60.304459999999999</v>
      </c>
      <c r="AN168">
        <v>-2.9915310000000002</v>
      </c>
      <c r="AO168">
        <v>44.664589999999997</v>
      </c>
      <c r="AP168">
        <v>66.945340000000002</v>
      </c>
      <c r="AQ168">
        <v>4.8294389999999998</v>
      </c>
      <c r="AR168">
        <v>16.195730000000001</v>
      </c>
      <c r="AS168">
        <v>1.541795</v>
      </c>
      <c r="AT168">
        <v>0.79750719999999997</v>
      </c>
      <c r="AU168">
        <v>0.77968899999999997</v>
      </c>
      <c r="AV168">
        <v>0.79750719999999997</v>
      </c>
      <c r="AW168">
        <v>24.86422</v>
      </c>
      <c r="AX168">
        <v>0.59</v>
      </c>
      <c r="AY168">
        <v>1.92234397332063</v>
      </c>
      <c r="AZ168" s="1" t="s">
        <v>101</v>
      </c>
      <c r="BA168" s="1" t="s">
        <v>101</v>
      </c>
      <c r="BB168" s="1" t="s">
        <v>101</v>
      </c>
      <c r="BC168" s="1" t="s">
        <v>101</v>
      </c>
      <c r="BD168" s="2">
        <v>66.945342016601003</v>
      </c>
      <c r="BE168" s="2">
        <f t="shared" si="4"/>
        <v>1.8733882728740099</v>
      </c>
      <c r="BF168" s="2">
        <f t="shared" si="5"/>
        <v>2.8789488636717113</v>
      </c>
      <c r="BG168">
        <v>10954419</v>
      </c>
      <c r="BH168" s="3">
        <v>1323</v>
      </c>
      <c r="BI168">
        <v>1.2075859398660538E-2</v>
      </c>
      <c r="BJ168" s="3">
        <v>6371781</v>
      </c>
      <c r="BK168">
        <v>347185</v>
      </c>
      <c r="BL168">
        <v>5.762793056995025</v>
      </c>
      <c r="BM168" s="3">
        <v>2433.7908000000002</v>
      </c>
      <c r="BN168">
        <v>218.30249999999978</v>
      </c>
      <c r="BO168">
        <v>8.2313280607435555</v>
      </c>
      <c r="BP168">
        <v>11552889098.5734</v>
      </c>
      <c r="BQ168">
        <v>183315305.94939995</v>
      </c>
      <c r="BR168">
        <v>1.6123322588250895</v>
      </c>
      <c r="BS168">
        <v>0.16244130000000001</v>
      </c>
      <c r="BT168">
        <v>1.492426</v>
      </c>
      <c r="BU168">
        <v>1.6001400727589901</v>
      </c>
    </row>
    <row r="169" spans="1:73" x14ac:dyDescent="0.2">
      <c r="A169">
        <v>168</v>
      </c>
      <c r="B169" t="s">
        <v>73</v>
      </c>
      <c r="C169">
        <v>2019</v>
      </c>
      <c r="D169">
        <v>6</v>
      </c>
      <c r="E169">
        <v>0</v>
      </c>
      <c r="F169" t="s">
        <v>74</v>
      </c>
      <c r="G169">
        <v>0.85221000000000002</v>
      </c>
      <c r="H169">
        <v>0</v>
      </c>
      <c r="O169">
        <v>-0.88300000000000001</v>
      </c>
      <c r="P169">
        <v>5.258</v>
      </c>
      <c r="Q169">
        <v>0</v>
      </c>
      <c r="S169">
        <v>1.111</v>
      </c>
      <c r="T169">
        <v>2.1</v>
      </c>
      <c r="U169">
        <v>11.49</v>
      </c>
      <c r="V169">
        <v>48.2</v>
      </c>
      <c r="W169" t="s">
        <v>54</v>
      </c>
      <c r="X169" t="s">
        <v>55</v>
      </c>
      <c r="Y169" t="s">
        <v>59</v>
      </c>
      <c r="Z169">
        <v>0.84799999999999998</v>
      </c>
      <c r="AA169">
        <v>0.89900000000000002</v>
      </c>
      <c r="AB169">
        <v>57</v>
      </c>
      <c r="AC169">
        <v>8.1</v>
      </c>
      <c r="AE169">
        <v>-84.008899999999997</v>
      </c>
      <c r="AF169">
        <v>9.6370100000000001</v>
      </c>
      <c r="AG169" t="s">
        <v>57</v>
      </c>
      <c r="AH169" t="s">
        <v>58</v>
      </c>
      <c r="AI169">
        <v>12755.17</v>
      </c>
      <c r="AJ169">
        <v>2.4175119999999999</v>
      </c>
      <c r="AK169">
        <v>64400000000</v>
      </c>
      <c r="AL169">
        <v>56.178109999999997</v>
      </c>
      <c r="AN169">
        <v>-1.2825029999999999</v>
      </c>
      <c r="AO169">
        <v>44.841619999999999</v>
      </c>
      <c r="AP169">
        <v>65.760530000000003</v>
      </c>
      <c r="AQ169">
        <v>4.2209399999999997</v>
      </c>
      <c r="AR169">
        <v>16.751200000000001</v>
      </c>
      <c r="AS169">
        <v>0.1983926</v>
      </c>
      <c r="AT169">
        <v>0.74193730000000002</v>
      </c>
      <c r="AU169">
        <v>0.77968899999999997</v>
      </c>
      <c r="AV169">
        <v>0.74193730000000002</v>
      </c>
      <c r="AW169">
        <v>24.888110000000001</v>
      </c>
      <c r="AX169">
        <v>0.1200001</v>
      </c>
      <c r="AY169">
        <v>1.92234397332063</v>
      </c>
      <c r="AZ169" s="1" t="s">
        <v>101</v>
      </c>
      <c r="BA169" s="1" t="s">
        <v>101</v>
      </c>
      <c r="BB169" s="1" t="s">
        <v>101</v>
      </c>
      <c r="BC169" s="1" t="s">
        <v>101</v>
      </c>
      <c r="BD169" s="2">
        <v>65.760530017606001</v>
      </c>
      <c r="BE169" s="2">
        <f t="shared" si="4"/>
        <v>1.1848119989950021</v>
      </c>
      <c r="BF169" s="2">
        <f t="shared" si="5"/>
        <v>1.7698199207066478</v>
      </c>
      <c r="BG169">
        <v>11616841</v>
      </c>
      <c r="BH169" s="3">
        <v>662422</v>
      </c>
      <c r="BI169">
        <v>6.0470756139599917</v>
      </c>
      <c r="BJ169" s="3">
        <v>7115161</v>
      </c>
      <c r="BK169">
        <v>743380</v>
      </c>
      <c r="BL169">
        <v>11.666753769471988</v>
      </c>
      <c r="BM169" s="3">
        <v>2695.1428999999998</v>
      </c>
      <c r="BN169">
        <v>261.35209999999961</v>
      </c>
      <c r="BO169">
        <v>10.738478426329806</v>
      </c>
      <c r="BP169">
        <v>10609589552.433399</v>
      </c>
      <c r="BQ169">
        <v>943299546.1400013</v>
      </c>
      <c r="BR169">
        <v>8.1650532441836035</v>
      </c>
      <c r="BS169">
        <v>0.55546759999999995</v>
      </c>
      <c r="BT169">
        <v>0.1589663</v>
      </c>
      <c r="BU169">
        <v>1.44117377363906</v>
      </c>
    </row>
    <row r="170" spans="1:73" x14ac:dyDescent="0.2">
      <c r="A170">
        <v>169</v>
      </c>
      <c r="B170" t="s">
        <v>75</v>
      </c>
      <c r="C170">
        <v>1992</v>
      </c>
      <c r="D170">
        <v>7</v>
      </c>
      <c r="E170">
        <v>0</v>
      </c>
      <c r="F170" t="s">
        <v>76</v>
      </c>
      <c r="G170">
        <v>0.88149999999999995</v>
      </c>
      <c r="H170">
        <v>0</v>
      </c>
      <c r="O170">
        <v>0.108</v>
      </c>
      <c r="Q170">
        <v>1</v>
      </c>
      <c r="R170">
        <v>6715.5</v>
      </c>
      <c r="S170">
        <v>-0.20699999999999999</v>
      </c>
      <c r="T170">
        <v>54.34</v>
      </c>
      <c r="U170">
        <v>8.56</v>
      </c>
      <c r="W170" t="s">
        <v>54</v>
      </c>
      <c r="X170" t="s">
        <v>55</v>
      </c>
      <c r="Y170" t="s">
        <v>59</v>
      </c>
      <c r="Z170">
        <v>0.48299999999999998</v>
      </c>
      <c r="AA170">
        <v>0.73199999999999998</v>
      </c>
      <c r="AB170">
        <v>77</v>
      </c>
      <c r="AC170">
        <v>4.5</v>
      </c>
      <c r="AE170">
        <v>-78.524299999999997</v>
      </c>
      <c r="AF170">
        <v>-0.22949800000000001</v>
      </c>
      <c r="AG170" t="s">
        <v>57</v>
      </c>
      <c r="AH170" t="s">
        <v>58</v>
      </c>
      <c r="AI170">
        <v>4341.28</v>
      </c>
      <c r="AJ170">
        <v>2.1143109999999998</v>
      </c>
      <c r="AK170">
        <v>46500000000</v>
      </c>
      <c r="AN170">
        <v>-0.67424779999999995</v>
      </c>
      <c r="AO170">
        <v>72.142700000000005</v>
      </c>
      <c r="AP170">
        <v>44.806550000000001</v>
      </c>
      <c r="AQ170">
        <v>0.98373860000000002</v>
      </c>
      <c r="AR170">
        <v>9.9388389999999998</v>
      </c>
      <c r="AT170">
        <v>3.9952610000000002</v>
      </c>
      <c r="AU170">
        <v>1.1664000000000001E-2</v>
      </c>
      <c r="AV170">
        <v>3.9952610000000002</v>
      </c>
      <c r="AW170">
        <v>24.563179999999999</v>
      </c>
      <c r="AY170">
        <v>2.7092266158488201</v>
      </c>
      <c r="AZ170" s="1">
        <v>0.10950000584125499</v>
      </c>
      <c r="BA170" s="1">
        <v>0.109999999403954</v>
      </c>
      <c r="BB170" s="1">
        <v>0.21950000524520899</v>
      </c>
      <c r="BC170" s="1">
        <v>6.6098103999999998</v>
      </c>
      <c r="BD170" s="2">
        <v>44.806543652206997</v>
      </c>
      <c r="BE170" s="2"/>
      <c r="BF170" s="2"/>
      <c r="BH170" s="3"/>
      <c r="BM170" s="3">
        <v>178</v>
      </c>
      <c r="BN170">
        <v>18</v>
      </c>
      <c r="BO170">
        <v>11.25</v>
      </c>
      <c r="BP170">
        <v>9178340120.4510899</v>
      </c>
      <c r="BQ170">
        <v>113650153.76701927</v>
      </c>
      <c r="BR170">
        <v>1.2537676874192458</v>
      </c>
      <c r="BU170">
        <v>-0.207484604114896</v>
      </c>
    </row>
    <row r="171" spans="1:73" x14ac:dyDescent="0.2">
      <c r="A171">
        <v>170</v>
      </c>
      <c r="B171" t="s">
        <v>75</v>
      </c>
      <c r="C171">
        <v>1993</v>
      </c>
      <c r="D171">
        <v>7</v>
      </c>
      <c r="E171">
        <v>0</v>
      </c>
      <c r="F171" t="s">
        <v>76</v>
      </c>
      <c r="G171">
        <v>0.88149999999999995</v>
      </c>
      <c r="H171">
        <v>0</v>
      </c>
      <c r="O171">
        <v>0.108</v>
      </c>
      <c r="Q171">
        <v>0</v>
      </c>
      <c r="R171">
        <v>6770.2</v>
      </c>
      <c r="S171">
        <v>-0.309</v>
      </c>
      <c r="T171">
        <v>45</v>
      </c>
      <c r="U171">
        <v>7.95</v>
      </c>
      <c r="W171" t="s">
        <v>54</v>
      </c>
      <c r="X171" t="s">
        <v>55</v>
      </c>
      <c r="Y171" t="s">
        <v>59</v>
      </c>
      <c r="Z171">
        <v>0.47399999999999998</v>
      </c>
      <c r="AA171">
        <v>0.73099999999999998</v>
      </c>
      <c r="AB171">
        <v>77</v>
      </c>
      <c r="AC171">
        <v>4.5</v>
      </c>
      <c r="AE171">
        <v>-78.524299999999997</v>
      </c>
      <c r="AF171">
        <v>-0.22949800000000001</v>
      </c>
      <c r="AG171" t="s">
        <v>57</v>
      </c>
      <c r="AH171" t="s">
        <v>58</v>
      </c>
      <c r="AI171">
        <v>4327.8630000000003</v>
      </c>
      <c r="AJ171">
        <v>1.9732179999999999</v>
      </c>
      <c r="AK171">
        <v>47400000000</v>
      </c>
      <c r="AN171">
        <v>-4.4822990000000003</v>
      </c>
      <c r="AO171">
        <v>71.269900000000007</v>
      </c>
      <c r="AP171">
        <v>43.171219999999998</v>
      </c>
      <c r="AQ171">
        <v>2.501331</v>
      </c>
      <c r="AR171">
        <v>10.603949999999999</v>
      </c>
      <c r="AS171">
        <v>0.14109269999999999</v>
      </c>
      <c r="AT171">
        <v>3.8066629999999999</v>
      </c>
      <c r="AU171">
        <v>1.1664000000000001E-2</v>
      </c>
      <c r="AV171">
        <v>3.8066629999999999</v>
      </c>
      <c r="AW171">
        <v>24.582730000000002</v>
      </c>
      <c r="AX171">
        <v>9.34</v>
      </c>
      <c r="AY171">
        <v>2.7092266158488201</v>
      </c>
      <c r="AZ171" s="1">
        <v>0.10950000584125499</v>
      </c>
      <c r="BA171" s="1">
        <v>0.109999999403954</v>
      </c>
      <c r="BB171" s="1">
        <v>0.21950000524520899</v>
      </c>
      <c r="BC171" s="1">
        <v>6.6098103999999998</v>
      </c>
      <c r="BD171" s="2">
        <v>43.171218423467998</v>
      </c>
      <c r="BE171" s="2">
        <f t="shared" si="4"/>
        <v>1.6353252287389992</v>
      </c>
      <c r="BF171" s="2">
        <f t="shared" si="5"/>
        <v>3.6497464330937062</v>
      </c>
      <c r="BH171" s="3"/>
      <c r="BM171" s="3">
        <v>473.72</v>
      </c>
      <c r="BN171">
        <v>295.72000000000003</v>
      </c>
      <c r="BO171">
        <v>166.13483146067418</v>
      </c>
      <c r="BP171">
        <v>9198119423.6766891</v>
      </c>
      <c r="BQ171">
        <v>19779303.225599289</v>
      </c>
      <c r="BR171">
        <v>0.21549978499409969</v>
      </c>
      <c r="BS171">
        <v>0.66511149999999997</v>
      </c>
      <c r="BT171">
        <v>0.10156519999999999</v>
      </c>
      <c r="BU171">
        <v>-0.30904975947791502</v>
      </c>
    </row>
    <row r="172" spans="1:73" x14ac:dyDescent="0.2">
      <c r="A172">
        <v>171</v>
      </c>
      <c r="B172" t="s">
        <v>75</v>
      </c>
      <c r="C172">
        <v>1994</v>
      </c>
      <c r="D172">
        <v>7</v>
      </c>
      <c r="E172">
        <v>0</v>
      </c>
      <c r="F172" t="s">
        <v>76</v>
      </c>
      <c r="G172">
        <v>0.88149999999999995</v>
      </c>
      <c r="H172">
        <v>1</v>
      </c>
      <c r="O172">
        <v>0.108</v>
      </c>
      <c r="Q172">
        <v>0</v>
      </c>
      <c r="R172">
        <v>6940.1</v>
      </c>
      <c r="S172">
        <v>1.9650000000000001</v>
      </c>
      <c r="T172">
        <v>27.44</v>
      </c>
      <c r="U172">
        <v>6.68</v>
      </c>
      <c r="V172">
        <v>53.4</v>
      </c>
      <c r="W172" t="s">
        <v>54</v>
      </c>
      <c r="X172" t="s">
        <v>55</v>
      </c>
      <c r="Y172" t="s">
        <v>59</v>
      </c>
      <c r="Z172">
        <v>0.46800000000000003</v>
      </c>
      <c r="AA172">
        <v>0.72599999999999998</v>
      </c>
      <c r="AB172">
        <v>77</v>
      </c>
      <c r="AC172">
        <v>5.6</v>
      </c>
      <c r="AE172">
        <v>-78.524299999999997</v>
      </c>
      <c r="AF172">
        <v>-0.22949800000000001</v>
      </c>
      <c r="AG172" t="s">
        <v>57</v>
      </c>
      <c r="AH172" t="s">
        <v>58</v>
      </c>
      <c r="AI172">
        <v>4412.902</v>
      </c>
      <c r="AJ172">
        <v>4.2582500000000003</v>
      </c>
      <c r="AK172">
        <v>49500000000</v>
      </c>
      <c r="AN172">
        <v>-3.9558450000000001</v>
      </c>
      <c r="AO172">
        <v>70.413970000000006</v>
      </c>
      <c r="AP172">
        <v>43.777749999999997</v>
      </c>
      <c r="AQ172">
        <v>2.5379290000000001</v>
      </c>
      <c r="AR172">
        <v>10.95679</v>
      </c>
      <c r="AS172">
        <v>2.2850320000000002</v>
      </c>
      <c r="AT172">
        <v>3.3120020000000001</v>
      </c>
      <c r="AU172">
        <v>1.1664000000000001E-2</v>
      </c>
      <c r="AV172">
        <v>3.3120020000000001</v>
      </c>
      <c r="AW172">
        <v>24.62443</v>
      </c>
      <c r="AX172">
        <v>17.559999999999999</v>
      </c>
      <c r="AY172">
        <v>2.7092266158488201</v>
      </c>
      <c r="AZ172" s="1">
        <v>0.10950000584125499</v>
      </c>
      <c r="BA172" s="1">
        <v>0.109999999403954</v>
      </c>
      <c r="BB172" s="1">
        <v>0.21950000524520899</v>
      </c>
      <c r="BC172" s="1">
        <v>5.8995023</v>
      </c>
      <c r="BD172" s="2">
        <v>43.777747495200003</v>
      </c>
      <c r="BE172" s="2">
        <f t="shared" si="4"/>
        <v>0.60652907173200532</v>
      </c>
      <c r="BF172" s="2">
        <f t="shared" si="5"/>
        <v>1.4049385073697489</v>
      </c>
      <c r="BH172" s="3"/>
      <c r="BM172" s="3">
        <v>576.33000000000004</v>
      </c>
      <c r="BN172">
        <v>102.61000000000001</v>
      </c>
      <c r="BO172">
        <v>21.660474541923502</v>
      </c>
      <c r="BP172">
        <v>9731589443.7228603</v>
      </c>
      <c r="BQ172">
        <v>533470020.04617119</v>
      </c>
      <c r="BR172">
        <v>5.7997727086797441</v>
      </c>
      <c r="BS172">
        <v>0.35284140000000003</v>
      </c>
      <c r="BT172">
        <v>2.2739630000000002</v>
      </c>
      <c r="BU172">
        <v>1.96491293203114</v>
      </c>
    </row>
    <row r="173" spans="1:73" x14ac:dyDescent="0.2">
      <c r="A173">
        <v>172</v>
      </c>
      <c r="B173" t="s">
        <v>75</v>
      </c>
      <c r="C173">
        <v>1995</v>
      </c>
      <c r="D173">
        <v>7</v>
      </c>
      <c r="E173">
        <v>0</v>
      </c>
      <c r="F173" t="s">
        <v>76</v>
      </c>
      <c r="G173">
        <v>0.88149999999999995</v>
      </c>
      <c r="H173">
        <v>0</v>
      </c>
      <c r="O173">
        <v>0.28499999999999998</v>
      </c>
      <c r="Q173">
        <v>0</v>
      </c>
      <c r="R173">
        <v>6985.2</v>
      </c>
      <c r="S173">
        <v>4.5999999999999999E-2</v>
      </c>
      <c r="T173">
        <v>22.89</v>
      </c>
      <c r="U173">
        <v>6.7</v>
      </c>
      <c r="W173" t="s">
        <v>54</v>
      </c>
      <c r="X173" t="s">
        <v>55</v>
      </c>
      <c r="Y173" t="s">
        <v>59</v>
      </c>
      <c r="Z173">
        <v>0.46899999999999997</v>
      </c>
      <c r="AA173">
        <v>0.72799999999999998</v>
      </c>
      <c r="AB173">
        <v>77</v>
      </c>
      <c r="AC173">
        <v>5.6</v>
      </c>
      <c r="AE173">
        <v>-78.524299999999997</v>
      </c>
      <c r="AF173">
        <v>-0.22949800000000001</v>
      </c>
      <c r="AG173" t="s">
        <v>57</v>
      </c>
      <c r="AH173" t="s">
        <v>58</v>
      </c>
      <c r="AI173">
        <v>4414.9279999999999</v>
      </c>
      <c r="AJ173">
        <v>2.2525490000000001</v>
      </c>
      <c r="AK173">
        <v>50600000000</v>
      </c>
      <c r="AN173">
        <v>-4.0928849999999999</v>
      </c>
      <c r="AO173">
        <v>69.580849999999998</v>
      </c>
      <c r="AP173">
        <v>45.911270000000002</v>
      </c>
      <c r="AQ173">
        <v>1.8519300000000001</v>
      </c>
      <c r="AR173">
        <v>11.213699999999999</v>
      </c>
      <c r="AS173">
        <v>2.0057019999999999</v>
      </c>
      <c r="AT173">
        <v>3.1307</v>
      </c>
      <c r="AU173">
        <v>8.1225000000000006E-2</v>
      </c>
      <c r="AV173">
        <v>3.1307</v>
      </c>
      <c r="AW173">
        <v>24.646699999999999</v>
      </c>
      <c r="AX173">
        <v>4.550001</v>
      </c>
      <c r="AY173">
        <v>2.8497697316182302</v>
      </c>
      <c r="AZ173" s="1">
        <v>0.10950000584125499</v>
      </c>
      <c r="BA173" s="1">
        <v>0.109999999403954</v>
      </c>
      <c r="BB173" s="1">
        <v>0.21950000524520899</v>
      </c>
      <c r="BC173" s="1">
        <v>5.8995023</v>
      </c>
      <c r="BD173" s="2">
        <v>45.911270731823997</v>
      </c>
      <c r="BE173" s="2">
        <f t="shared" si="4"/>
        <v>2.1335232366239936</v>
      </c>
      <c r="BF173" s="2">
        <f t="shared" si="5"/>
        <v>4.8735336071320781</v>
      </c>
      <c r="BH173" s="3"/>
      <c r="BM173" s="3">
        <v>452.48</v>
      </c>
      <c r="BN173">
        <v>123.85000000000002</v>
      </c>
      <c r="BO173">
        <v>21.489424461679942</v>
      </c>
      <c r="BP173">
        <v>9625139318.9757099</v>
      </c>
      <c r="BQ173">
        <v>106450124.74715042</v>
      </c>
      <c r="BR173">
        <v>1.0938616488369599</v>
      </c>
      <c r="BS173">
        <v>0.25690649999999998</v>
      </c>
      <c r="BT173">
        <v>1.918998</v>
      </c>
      <c r="BU173">
        <v>4.5914884028803699E-2</v>
      </c>
    </row>
    <row r="174" spans="1:73" x14ac:dyDescent="0.2">
      <c r="A174">
        <v>173</v>
      </c>
      <c r="B174" t="s">
        <v>75</v>
      </c>
      <c r="C174">
        <v>1996</v>
      </c>
      <c r="D174">
        <v>7</v>
      </c>
      <c r="E174">
        <v>1</v>
      </c>
      <c r="F174" t="s">
        <v>76</v>
      </c>
      <c r="G174">
        <v>0.88149999999999995</v>
      </c>
      <c r="H174">
        <v>0</v>
      </c>
      <c r="I174">
        <v>1.2310000000000001</v>
      </c>
      <c r="J174">
        <v>1.2749999999999999</v>
      </c>
      <c r="K174">
        <v>2.4660000000000002</v>
      </c>
      <c r="L174">
        <v>2.5089999999999999</v>
      </c>
      <c r="M174">
        <v>0.89700000000000002</v>
      </c>
      <c r="N174">
        <v>0.95599999999999996</v>
      </c>
      <c r="O174">
        <v>0.28499999999999998</v>
      </c>
      <c r="P174">
        <v>5.5010000000000003</v>
      </c>
      <c r="Q174">
        <v>1</v>
      </c>
      <c r="R174">
        <v>6993.6</v>
      </c>
      <c r="S174">
        <v>-0.42399999999999999</v>
      </c>
      <c r="T174">
        <v>24.37</v>
      </c>
      <c r="U174">
        <v>10.38</v>
      </c>
      <c r="W174" t="s">
        <v>54</v>
      </c>
      <c r="X174" t="s">
        <v>55</v>
      </c>
      <c r="Y174" t="s">
        <v>59</v>
      </c>
      <c r="Z174">
        <v>0.46200000000000002</v>
      </c>
      <c r="AA174">
        <v>0.72399999999999998</v>
      </c>
      <c r="AB174">
        <v>82</v>
      </c>
      <c r="AC174">
        <v>5.6</v>
      </c>
      <c r="AE174">
        <v>-78.524299999999997</v>
      </c>
      <c r="AF174">
        <v>-0.22949800000000001</v>
      </c>
      <c r="AG174" t="s">
        <v>57</v>
      </c>
      <c r="AH174" t="s">
        <v>58</v>
      </c>
      <c r="AI174">
        <v>4396.2209999999995</v>
      </c>
      <c r="AJ174">
        <v>1.7317480000000001</v>
      </c>
      <c r="AK174">
        <v>51500000000</v>
      </c>
      <c r="AN174">
        <v>-0.21739140000000001</v>
      </c>
      <c r="AO174">
        <v>68.926429999999996</v>
      </c>
      <c r="AP174">
        <v>44.215699999999998</v>
      </c>
      <c r="AQ174">
        <v>1.980783</v>
      </c>
      <c r="AR174">
        <v>10.87543</v>
      </c>
      <c r="AS174">
        <v>0.52080119999999996</v>
      </c>
      <c r="AT174">
        <v>3.1933530000000001</v>
      </c>
      <c r="AU174">
        <v>8.1225000000000006E-2</v>
      </c>
      <c r="AV174">
        <v>3.1933530000000001</v>
      </c>
      <c r="AW174">
        <v>24.663869999999999</v>
      </c>
      <c r="AX174">
        <v>1.4800009999999999</v>
      </c>
      <c r="AY174">
        <v>2.8497697316182302</v>
      </c>
      <c r="AZ174" s="1">
        <v>0.21950000524520899</v>
      </c>
      <c r="BA174" s="1">
        <v>0.103999994695187</v>
      </c>
      <c r="BB174" s="1">
        <v>0.32350000739097601</v>
      </c>
      <c r="BC174" s="1">
        <v>5.1094220000000004</v>
      </c>
      <c r="BD174" s="2">
        <v>44.215702683215</v>
      </c>
      <c r="BE174" s="2">
        <f t="shared" si="4"/>
        <v>1.6955680486089975</v>
      </c>
      <c r="BF174" s="2">
        <f t="shared" si="5"/>
        <v>3.6931411864270016</v>
      </c>
      <c r="BH174" s="3"/>
      <c r="BM174" s="3">
        <v>499.68</v>
      </c>
      <c r="BN174">
        <v>47.199999999999989</v>
      </c>
      <c r="BO174">
        <v>10.431400282885429</v>
      </c>
      <c r="BP174">
        <v>9333859236.2561607</v>
      </c>
      <c r="BQ174">
        <v>291280082.71954918</v>
      </c>
      <c r="BR174">
        <v>3.0262427697570895</v>
      </c>
      <c r="BS174">
        <v>0.33826450000000002</v>
      </c>
      <c r="BT174">
        <v>0.46963579999999999</v>
      </c>
      <c r="BU174">
        <v>-0.42372089246907801</v>
      </c>
    </row>
    <row r="175" spans="1:73" x14ac:dyDescent="0.2">
      <c r="A175">
        <v>174</v>
      </c>
      <c r="B175" t="s">
        <v>75</v>
      </c>
      <c r="C175">
        <v>1997</v>
      </c>
      <c r="D175">
        <v>7</v>
      </c>
      <c r="E175">
        <v>0</v>
      </c>
      <c r="F175" t="s">
        <v>76</v>
      </c>
      <c r="G175">
        <v>0.88149999999999995</v>
      </c>
      <c r="H175">
        <v>0</v>
      </c>
      <c r="I175">
        <v>1.2310000000000001</v>
      </c>
      <c r="J175">
        <v>1.2749999999999999</v>
      </c>
      <c r="K175">
        <v>2.4660000000000002</v>
      </c>
      <c r="L175">
        <v>2.5089999999999999</v>
      </c>
      <c r="M175">
        <v>0.89700000000000002</v>
      </c>
      <c r="N175">
        <v>0.95599999999999996</v>
      </c>
      <c r="O175">
        <v>0.28499999999999998</v>
      </c>
      <c r="P175">
        <v>5.6529999999999996</v>
      </c>
      <c r="Q175">
        <v>0</v>
      </c>
      <c r="R175">
        <v>7181.1</v>
      </c>
      <c r="S175">
        <v>2.161</v>
      </c>
      <c r="T175">
        <v>30.64</v>
      </c>
      <c r="U175">
        <v>9.17</v>
      </c>
      <c r="W175" t="s">
        <v>54</v>
      </c>
      <c r="X175" t="s">
        <v>55</v>
      </c>
      <c r="Y175" t="s">
        <v>59</v>
      </c>
      <c r="Z175">
        <v>0.47099999999999997</v>
      </c>
      <c r="AA175">
        <v>0.72099999999999997</v>
      </c>
      <c r="AB175">
        <v>82</v>
      </c>
      <c r="AC175">
        <v>5.6</v>
      </c>
      <c r="AE175">
        <v>-78.524299999999997</v>
      </c>
      <c r="AF175">
        <v>-0.22949800000000001</v>
      </c>
      <c r="AG175" t="s">
        <v>57</v>
      </c>
      <c r="AH175" t="s">
        <v>58</v>
      </c>
      <c r="AI175">
        <v>4491.201</v>
      </c>
      <c r="AJ175">
        <v>4.3278650000000001</v>
      </c>
      <c r="AK175">
        <v>53700000000</v>
      </c>
      <c r="AN175">
        <v>-1.6219699999999999</v>
      </c>
      <c r="AO175">
        <v>68.310329999999993</v>
      </c>
      <c r="AP175">
        <v>45.017189999999999</v>
      </c>
      <c r="AQ175">
        <v>2.5706579999999999</v>
      </c>
      <c r="AR175">
        <v>11.269310000000001</v>
      </c>
      <c r="AS175">
        <v>2.596117</v>
      </c>
      <c r="AT175">
        <v>3.4223059999999998</v>
      </c>
      <c r="AU175">
        <v>8.1225000000000006E-2</v>
      </c>
      <c r="AV175">
        <v>3.4223059999999998</v>
      </c>
      <c r="AW175">
        <v>24.706240000000001</v>
      </c>
      <c r="AX175">
        <v>6.2699990000000003</v>
      </c>
      <c r="AY175">
        <v>2.8497697316182302</v>
      </c>
      <c r="AZ175" s="1">
        <v>0.21950000524520899</v>
      </c>
      <c r="BA175" s="1">
        <v>0.103999994695187</v>
      </c>
      <c r="BB175" s="1">
        <v>0.32350000739097601</v>
      </c>
      <c r="BC175" s="1">
        <v>5.1094220000000004</v>
      </c>
      <c r="BD175" s="2">
        <v>45.017186318076</v>
      </c>
      <c r="BE175" s="2">
        <f t="shared" si="4"/>
        <v>0.80148363486100038</v>
      </c>
      <c r="BF175" s="2">
        <f t="shared" si="5"/>
        <v>1.8126674150205389</v>
      </c>
      <c r="BH175" s="3"/>
      <c r="BM175" s="3">
        <v>723.95</v>
      </c>
      <c r="BN175">
        <v>224.27000000000004</v>
      </c>
      <c r="BO175">
        <v>44.882724943964142</v>
      </c>
      <c r="BP175">
        <v>10067408467.7623</v>
      </c>
      <c r="BQ175">
        <v>733549231.50613976</v>
      </c>
      <c r="BR175">
        <v>7.8590132220632105</v>
      </c>
      <c r="BS175">
        <v>0.39387889999999998</v>
      </c>
      <c r="BT175">
        <v>2.5842049999999999</v>
      </c>
      <c r="BU175">
        <v>2.16048409378114</v>
      </c>
    </row>
    <row r="176" spans="1:73" x14ac:dyDescent="0.2">
      <c r="A176">
        <v>175</v>
      </c>
      <c r="B176" t="s">
        <v>75</v>
      </c>
      <c r="C176">
        <v>1998</v>
      </c>
      <c r="D176">
        <v>7</v>
      </c>
      <c r="E176">
        <v>1</v>
      </c>
      <c r="F176" t="s">
        <v>76</v>
      </c>
      <c r="G176">
        <v>0.88149999999999995</v>
      </c>
      <c r="H176">
        <v>0</v>
      </c>
      <c r="I176">
        <v>1.355</v>
      </c>
      <c r="J176">
        <v>1.236</v>
      </c>
      <c r="K176">
        <v>2.5870000000000002</v>
      </c>
      <c r="L176">
        <v>2.4710000000000001</v>
      </c>
      <c r="M176">
        <v>0.97499999999999998</v>
      </c>
      <c r="N176">
        <v>0.94199999999999995</v>
      </c>
      <c r="O176">
        <v>0.28499999999999998</v>
      </c>
      <c r="P176">
        <v>5.234</v>
      </c>
      <c r="Q176">
        <v>1</v>
      </c>
      <c r="R176">
        <v>7307.2</v>
      </c>
      <c r="S176">
        <v>1.1759999999999999</v>
      </c>
      <c r="T176">
        <v>36.1</v>
      </c>
      <c r="U176">
        <v>11.49</v>
      </c>
      <c r="W176" t="s">
        <v>54</v>
      </c>
      <c r="X176" t="s">
        <v>55</v>
      </c>
      <c r="Y176" t="s">
        <v>59</v>
      </c>
      <c r="Z176">
        <v>0.47899999999999998</v>
      </c>
      <c r="AA176">
        <v>0.71899999999999997</v>
      </c>
      <c r="AB176">
        <v>120</v>
      </c>
      <c r="AC176">
        <v>7.4</v>
      </c>
      <c r="AE176">
        <v>-78.524299999999997</v>
      </c>
      <c r="AF176">
        <v>-0.22949800000000001</v>
      </c>
      <c r="AG176" t="s">
        <v>57</v>
      </c>
      <c r="AH176" t="s">
        <v>58</v>
      </c>
      <c r="AI176">
        <v>4544</v>
      </c>
      <c r="AJ176">
        <v>3.2665289999999998</v>
      </c>
      <c r="AK176">
        <v>55400000000</v>
      </c>
      <c r="AN176">
        <v>-7.499492</v>
      </c>
      <c r="AO176">
        <v>67.693700000000007</v>
      </c>
      <c r="AP176">
        <v>43.395110000000003</v>
      </c>
      <c r="AQ176">
        <v>3.1090819999999999</v>
      </c>
      <c r="AR176">
        <v>11.093</v>
      </c>
      <c r="AS176">
        <v>1.0613349999999999</v>
      </c>
      <c r="AT176">
        <v>3.586293</v>
      </c>
      <c r="AU176">
        <v>8.1225000000000006E-2</v>
      </c>
      <c r="AV176">
        <v>3.586293</v>
      </c>
      <c r="AW176">
        <v>24.738379999999999</v>
      </c>
      <c r="AX176">
        <v>5.4599989999999998</v>
      </c>
      <c r="AY176">
        <v>2.8497697316182302</v>
      </c>
      <c r="AZ176" s="1">
        <v>8.6500003933906597E-2</v>
      </c>
      <c r="BA176" s="1">
        <v>0.16600000858306899</v>
      </c>
      <c r="BB176" s="1">
        <v>0.25249999761581399</v>
      </c>
      <c r="BC176" s="1">
        <v>5.7303329999999999</v>
      </c>
      <c r="BD176" s="2">
        <v>43.395107949805002</v>
      </c>
      <c r="BE176" s="2">
        <f t="shared" si="4"/>
        <v>1.6220783682709978</v>
      </c>
      <c r="BF176" s="2">
        <f t="shared" si="5"/>
        <v>3.6032424523601905</v>
      </c>
      <c r="BH176" s="3"/>
      <c r="BM176" s="3">
        <v>869.98</v>
      </c>
      <c r="BN176">
        <v>146.02999999999997</v>
      </c>
      <c r="BO176">
        <v>20.171282547137228</v>
      </c>
      <c r="BP176">
        <v>10518715050.666</v>
      </c>
      <c r="BQ176">
        <v>451306582.90369987</v>
      </c>
      <c r="BR176">
        <v>4.4828476399747448</v>
      </c>
      <c r="BS176">
        <v>0.17631530000000001</v>
      </c>
      <c r="BT176">
        <v>0.9848768</v>
      </c>
      <c r="BU176">
        <v>1.17560730123263</v>
      </c>
    </row>
    <row r="177" spans="1:73" x14ac:dyDescent="0.2">
      <c r="A177">
        <v>176</v>
      </c>
      <c r="B177" t="s">
        <v>75</v>
      </c>
      <c r="C177">
        <v>1999</v>
      </c>
      <c r="D177">
        <v>7</v>
      </c>
      <c r="E177">
        <v>0</v>
      </c>
      <c r="F177" t="s">
        <v>76</v>
      </c>
      <c r="G177">
        <v>0.88149999999999995</v>
      </c>
      <c r="H177">
        <v>0</v>
      </c>
      <c r="I177">
        <v>1.355</v>
      </c>
      <c r="J177">
        <v>1.236</v>
      </c>
      <c r="K177">
        <v>2.5870000000000002</v>
      </c>
      <c r="L177">
        <v>2.4710000000000001</v>
      </c>
      <c r="M177">
        <v>0.97499999999999998</v>
      </c>
      <c r="N177">
        <v>0.94199999999999995</v>
      </c>
      <c r="O177">
        <v>0.28499999999999998</v>
      </c>
      <c r="P177">
        <v>5.234</v>
      </c>
      <c r="Q177">
        <v>0</v>
      </c>
      <c r="R177">
        <v>6884.8</v>
      </c>
      <c r="S177">
        <v>-6.6050000000000004</v>
      </c>
      <c r="T177">
        <v>52.24</v>
      </c>
      <c r="U177">
        <v>13.96</v>
      </c>
      <c r="V177">
        <v>58.6</v>
      </c>
      <c r="W177" t="s">
        <v>54</v>
      </c>
      <c r="X177" t="s">
        <v>55</v>
      </c>
      <c r="Y177" t="s">
        <v>59</v>
      </c>
      <c r="Z177">
        <v>0.47699999999999998</v>
      </c>
      <c r="AA177">
        <v>0.71799999999999997</v>
      </c>
      <c r="AB177">
        <v>120</v>
      </c>
      <c r="AC177">
        <v>7.4</v>
      </c>
      <c r="AE177">
        <v>-78.524299999999997</v>
      </c>
      <c r="AF177">
        <v>-0.22949800000000001</v>
      </c>
      <c r="AG177" t="s">
        <v>57</v>
      </c>
      <c r="AH177" t="s">
        <v>58</v>
      </c>
      <c r="AI177">
        <v>4243.8720000000003</v>
      </c>
      <c r="AJ177">
        <v>-4.7393859999999997</v>
      </c>
      <c r="AK177">
        <v>52800000000</v>
      </c>
      <c r="AN177">
        <v>4.6734910000000003</v>
      </c>
      <c r="AO177">
        <v>67.021060000000006</v>
      </c>
      <c r="AP177">
        <v>49.201250000000002</v>
      </c>
      <c r="AQ177">
        <v>3.3005909999999998</v>
      </c>
      <c r="AR177">
        <v>11.767530000000001</v>
      </c>
      <c r="AS177">
        <v>8.0059149999999999</v>
      </c>
      <c r="AT177">
        <v>3.955848</v>
      </c>
      <c r="AU177">
        <v>8.1225000000000006E-2</v>
      </c>
      <c r="AV177">
        <v>3.955848</v>
      </c>
      <c r="AW177">
        <v>24.689830000000001</v>
      </c>
      <c r="AX177">
        <v>16.14</v>
      </c>
      <c r="AY177">
        <v>2.8497697316182302</v>
      </c>
      <c r="AZ177" s="1">
        <v>8.6500003933906597E-2</v>
      </c>
      <c r="BA177" s="1">
        <v>0.16600000858306899</v>
      </c>
      <c r="BB177" s="1">
        <v>0.25249999761581399</v>
      </c>
      <c r="BC177" s="1">
        <v>5.7303329999999999</v>
      </c>
      <c r="BD177" s="2">
        <v>49.201250798937998</v>
      </c>
      <c r="BE177" s="2">
        <f t="shared" si="4"/>
        <v>5.8061428491329963</v>
      </c>
      <c r="BF177" s="2">
        <f t="shared" si="5"/>
        <v>13.379717492231945</v>
      </c>
      <c r="BH177" s="3"/>
      <c r="BM177" s="3">
        <v>648.41</v>
      </c>
      <c r="BN177">
        <v>221.57000000000005</v>
      </c>
      <c r="BO177">
        <v>25.468401572449945</v>
      </c>
      <c r="BP177">
        <v>7866132187.2895298</v>
      </c>
      <c r="BQ177">
        <v>2652582863.3764706</v>
      </c>
      <c r="BR177">
        <v>25.21774618477302</v>
      </c>
      <c r="BS177">
        <v>0.67453479999999999</v>
      </c>
      <c r="BT177">
        <v>7.7805289999999996</v>
      </c>
      <c r="BU177">
        <v>-6.6049217107067797</v>
      </c>
    </row>
    <row r="178" spans="1:73" x14ac:dyDescent="0.2">
      <c r="A178">
        <v>177</v>
      </c>
      <c r="B178" t="s">
        <v>75</v>
      </c>
      <c r="C178">
        <v>2000</v>
      </c>
      <c r="D178">
        <v>7</v>
      </c>
      <c r="E178">
        <v>0</v>
      </c>
      <c r="F178" t="s">
        <v>76</v>
      </c>
      <c r="G178">
        <v>0.88149999999999995</v>
      </c>
      <c r="H178">
        <v>1</v>
      </c>
      <c r="I178">
        <v>1.355</v>
      </c>
      <c r="J178">
        <v>1.236</v>
      </c>
      <c r="K178">
        <v>2.5870000000000002</v>
      </c>
      <c r="L178">
        <v>2.4710000000000001</v>
      </c>
      <c r="M178">
        <v>0.97499999999999998</v>
      </c>
      <c r="N178">
        <v>0.94199999999999995</v>
      </c>
      <c r="O178">
        <v>0.46899999999999997</v>
      </c>
      <c r="P178">
        <v>5.2629999999999999</v>
      </c>
      <c r="Q178">
        <v>0</v>
      </c>
      <c r="R178">
        <v>6908.2</v>
      </c>
      <c r="S178">
        <v>-0.81399999999999995</v>
      </c>
      <c r="T178">
        <v>96.09</v>
      </c>
      <c r="U178">
        <v>4.8</v>
      </c>
      <c r="V178">
        <v>56.4</v>
      </c>
      <c r="W178" t="s">
        <v>54</v>
      </c>
      <c r="X178" t="s">
        <v>55</v>
      </c>
      <c r="Y178" t="s">
        <v>59</v>
      </c>
      <c r="Z178">
        <v>0.46899999999999997</v>
      </c>
      <c r="AA178">
        <v>0.71899999999999997</v>
      </c>
      <c r="AB178">
        <v>120</v>
      </c>
      <c r="AC178">
        <v>7.4</v>
      </c>
      <c r="AE178">
        <v>-78.524299999999997</v>
      </c>
      <c r="AF178">
        <v>-0.22949800000000001</v>
      </c>
      <c r="AG178" t="s">
        <v>57</v>
      </c>
      <c r="AH178" t="s">
        <v>58</v>
      </c>
      <c r="AI178">
        <v>4209.3450000000003</v>
      </c>
      <c r="AJ178">
        <v>1.0918019999999999</v>
      </c>
      <c r="AK178">
        <v>53400000000</v>
      </c>
      <c r="AN178">
        <v>6.0707060000000004</v>
      </c>
      <c r="AO178">
        <v>66.268640000000005</v>
      </c>
      <c r="AP178">
        <v>59.464700000000001</v>
      </c>
      <c r="AQ178">
        <v>-0.1278899</v>
      </c>
      <c r="AR178">
        <v>9.3503969999999992</v>
      </c>
      <c r="AS178">
        <v>5.8311869999999999</v>
      </c>
      <c r="AT178">
        <v>4.5652850000000003</v>
      </c>
      <c r="AU178">
        <v>0.21996099999999999</v>
      </c>
      <c r="AV178">
        <v>4.5652850000000003</v>
      </c>
      <c r="AW178">
        <v>24.700690000000002</v>
      </c>
      <c r="AX178">
        <v>43.849989999999998</v>
      </c>
      <c r="AY178">
        <v>2.99587104970621</v>
      </c>
      <c r="AZ178" s="1">
        <v>8.6500003933906597E-2</v>
      </c>
      <c r="BA178" s="1">
        <v>0.16600000858306899</v>
      </c>
      <c r="BB178" s="1">
        <v>0.25249999761581399</v>
      </c>
      <c r="BC178" s="1">
        <v>5.7303329999999999</v>
      </c>
      <c r="BD178" s="2">
        <v>59.464699296633</v>
      </c>
      <c r="BE178" s="2">
        <f t="shared" si="4"/>
        <v>10.263448497695002</v>
      </c>
      <c r="BF178" s="2">
        <f t="shared" si="5"/>
        <v>20.860137356338381</v>
      </c>
      <c r="BH178" s="3"/>
      <c r="BM178" s="3">
        <v>-23.439299999999999</v>
      </c>
      <c r="BN178">
        <v>671.84929999999997</v>
      </c>
      <c r="BO178">
        <v>103.61488872781111</v>
      </c>
      <c r="BP178">
        <v>8845221296.17206</v>
      </c>
      <c r="BQ178">
        <v>979089108.88253021</v>
      </c>
      <c r="BR178">
        <v>12.446893664774525</v>
      </c>
      <c r="BS178">
        <v>2.417135</v>
      </c>
      <c r="BT178">
        <v>5.7913439999999996</v>
      </c>
      <c r="BU178">
        <v>-0.81357825563969799</v>
      </c>
    </row>
    <row r="179" spans="1:73" x14ac:dyDescent="0.2">
      <c r="A179">
        <v>178</v>
      </c>
      <c r="B179" t="s">
        <v>75</v>
      </c>
      <c r="C179">
        <v>2001</v>
      </c>
      <c r="D179">
        <v>7</v>
      </c>
      <c r="E179">
        <v>0</v>
      </c>
      <c r="F179" t="s">
        <v>76</v>
      </c>
      <c r="G179">
        <v>0.88149999999999995</v>
      </c>
      <c r="H179">
        <v>0</v>
      </c>
      <c r="I179">
        <v>1.355</v>
      </c>
      <c r="J179">
        <v>1.236</v>
      </c>
      <c r="K179">
        <v>2.5870000000000002</v>
      </c>
      <c r="L179">
        <v>2.4710000000000001</v>
      </c>
      <c r="M179">
        <v>0.97499999999999998</v>
      </c>
      <c r="N179">
        <v>0.94199999999999995</v>
      </c>
      <c r="O179">
        <v>0.46899999999999997</v>
      </c>
      <c r="P179">
        <v>5.1449999999999996</v>
      </c>
      <c r="Q179">
        <v>0</v>
      </c>
      <c r="R179">
        <v>7131.2</v>
      </c>
      <c r="S179">
        <v>2.1349999999999998</v>
      </c>
      <c r="T179">
        <v>37.68</v>
      </c>
      <c r="U179">
        <v>4.25</v>
      </c>
      <c r="W179" t="s">
        <v>54</v>
      </c>
      <c r="X179" t="s">
        <v>55</v>
      </c>
      <c r="Y179" t="s">
        <v>59</v>
      </c>
      <c r="Z179">
        <v>0.46899999999999997</v>
      </c>
      <c r="AA179">
        <v>0.71899999999999997</v>
      </c>
      <c r="AB179">
        <v>120</v>
      </c>
      <c r="AC179">
        <v>7.4</v>
      </c>
      <c r="AE179">
        <v>-78.524299999999997</v>
      </c>
      <c r="AF179">
        <v>-0.22949800000000001</v>
      </c>
      <c r="AG179" t="s">
        <v>57</v>
      </c>
      <c r="AH179" t="s">
        <v>58</v>
      </c>
      <c r="AI179">
        <v>4299.2020000000002</v>
      </c>
      <c r="AJ179">
        <v>4.0156299999999998</v>
      </c>
      <c r="AK179">
        <v>55500000000</v>
      </c>
      <c r="AN179">
        <v>-2.2526090000000001</v>
      </c>
      <c r="AO179">
        <v>65.689599999999999</v>
      </c>
      <c r="AP179">
        <v>50.745060000000002</v>
      </c>
      <c r="AQ179">
        <v>2.201085</v>
      </c>
      <c r="AR179">
        <v>9.4489350000000005</v>
      </c>
      <c r="AS179">
        <v>2.9238279999999999</v>
      </c>
      <c r="AT179">
        <v>3.6291289999999998</v>
      </c>
      <c r="AU179">
        <v>0.21996099999999999</v>
      </c>
      <c r="AV179">
        <v>3.6291289999999998</v>
      </c>
      <c r="AW179">
        <v>24.74006</v>
      </c>
      <c r="AX179">
        <v>58.41</v>
      </c>
      <c r="AY179">
        <v>2.99587104970621</v>
      </c>
      <c r="AZ179" s="1">
        <v>8.6500003933906597E-2</v>
      </c>
      <c r="BA179" s="1">
        <v>0.16600000858306899</v>
      </c>
      <c r="BB179" s="1">
        <v>0.25249999761581399</v>
      </c>
      <c r="BC179" s="1">
        <v>5.7303329999999999</v>
      </c>
      <c r="BD179" s="2">
        <v>50.745057160432999</v>
      </c>
      <c r="BE179" s="2">
        <f t="shared" si="4"/>
        <v>8.7196421362000009</v>
      </c>
      <c r="BF179" s="2">
        <f t="shared" si="5"/>
        <v>14.663560464172267</v>
      </c>
      <c r="BH179" s="3"/>
      <c r="BM179" s="3">
        <v>538.56849999999997</v>
      </c>
      <c r="BN179">
        <v>562.00779999999997</v>
      </c>
      <c r="BO179">
        <v>-2397.715802093066</v>
      </c>
      <c r="BP179">
        <v>10636934540.7932</v>
      </c>
      <c r="BQ179">
        <v>1791713244.6211395</v>
      </c>
      <c r="BR179">
        <v>20.256285112917841</v>
      </c>
      <c r="BS179">
        <v>9.8537399999999997E-2</v>
      </c>
      <c r="BT179">
        <v>2.9482840000000001</v>
      </c>
      <c r="BU179">
        <v>2.1347055732875901</v>
      </c>
    </row>
    <row r="180" spans="1:73" x14ac:dyDescent="0.2">
      <c r="A180">
        <v>179</v>
      </c>
      <c r="B180" t="s">
        <v>75</v>
      </c>
      <c r="C180">
        <v>2002</v>
      </c>
      <c r="D180">
        <v>7</v>
      </c>
      <c r="E180">
        <v>1</v>
      </c>
      <c r="F180" t="s">
        <v>76</v>
      </c>
      <c r="G180">
        <v>0.88149999999999995</v>
      </c>
      <c r="H180">
        <v>0</v>
      </c>
      <c r="I180">
        <v>0.74399999999999999</v>
      </c>
      <c r="J180">
        <v>1.8140000000000001</v>
      </c>
      <c r="K180">
        <v>1.9159999999999999</v>
      </c>
      <c r="L180">
        <v>2.9929999999999999</v>
      </c>
      <c r="M180">
        <v>0.53700000000000003</v>
      </c>
      <c r="N180">
        <v>1.1419999999999999</v>
      </c>
      <c r="O180">
        <v>0.46899999999999997</v>
      </c>
      <c r="P180">
        <v>4.0999999999999996</v>
      </c>
      <c r="Q180">
        <v>1</v>
      </c>
      <c r="R180">
        <v>7359.7</v>
      </c>
      <c r="S180">
        <v>2.2850000000000001</v>
      </c>
      <c r="T180">
        <v>12.48</v>
      </c>
      <c r="W180" t="s">
        <v>54</v>
      </c>
      <c r="X180" t="s">
        <v>55</v>
      </c>
      <c r="Y180" t="s">
        <v>59</v>
      </c>
      <c r="Z180">
        <v>0.46899999999999997</v>
      </c>
      <c r="AA180">
        <v>0.71899999999999997</v>
      </c>
      <c r="AB180">
        <v>100</v>
      </c>
      <c r="AC180">
        <v>7.4</v>
      </c>
      <c r="AE180">
        <v>-78.524299999999997</v>
      </c>
      <c r="AF180">
        <v>-0.22949800000000001</v>
      </c>
      <c r="AG180" t="s">
        <v>57</v>
      </c>
      <c r="AH180" t="s">
        <v>58</v>
      </c>
      <c r="AI180">
        <v>4397.4229999999998</v>
      </c>
      <c r="AJ180">
        <v>4.0967760000000002</v>
      </c>
      <c r="AK180">
        <v>57800000000</v>
      </c>
      <c r="AL180">
        <v>18.07338</v>
      </c>
      <c r="AN180">
        <v>-4.2699470000000002</v>
      </c>
      <c r="AO180">
        <v>64.975809999999996</v>
      </c>
      <c r="AP180">
        <v>49.376550000000002</v>
      </c>
      <c r="AQ180">
        <v>2.7435719999999999</v>
      </c>
      <c r="AR180">
        <v>9.8324400000000001</v>
      </c>
      <c r="AS180">
        <v>8.1146700000000002E-2</v>
      </c>
      <c r="AT180">
        <v>2.524127</v>
      </c>
      <c r="AU180">
        <v>0.21996099999999999</v>
      </c>
      <c r="AV180">
        <v>2.524127</v>
      </c>
      <c r="AW180">
        <v>24.78021</v>
      </c>
      <c r="AX180">
        <v>25.2</v>
      </c>
      <c r="AY180">
        <v>2.99587104970621</v>
      </c>
      <c r="AZ180" s="1">
        <v>0.51649999618530296</v>
      </c>
      <c r="BA180" s="1">
        <v>0.226000010967255</v>
      </c>
      <c r="BB180" s="1">
        <v>0.74250000715255704</v>
      </c>
      <c r="BC180" s="1">
        <v>5.7303329999999999</v>
      </c>
      <c r="BD180" s="2">
        <v>49.376549641326001</v>
      </c>
      <c r="BE180" s="2">
        <f t="shared" si="4"/>
        <v>1.3685075191069984</v>
      </c>
      <c r="BF180" s="2">
        <f t="shared" si="5"/>
        <v>2.6968292000940988</v>
      </c>
      <c r="BH180" s="3"/>
      <c r="BM180" s="3">
        <v>783.26099999999997</v>
      </c>
      <c r="BN180">
        <v>244.6925</v>
      </c>
      <c r="BO180">
        <v>45.433867743843173</v>
      </c>
      <c r="BP180">
        <v>12561398792.662901</v>
      </c>
      <c r="BQ180">
        <v>1924464251.8697014</v>
      </c>
      <c r="BR180">
        <v>18.092282550854108</v>
      </c>
      <c r="BS180">
        <v>0.38350580000000001</v>
      </c>
      <c r="BT180">
        <v>0.14992620000000001</v>
      </c>
      <c r="BU180">
        <v>2.28463176529399</v>
      </c>
    </row>
    <row r="181" spans="1:73" x14ac:dyDescent="0.2">
      <c r="A181">
        <v>180</v>
      </c>
      <c r="B181" t="s">
        <v>75</v>
      </c>
      <c r="C181">
        <v>2003</v>
      </c>
      <c r="D181">
        <v>7</v>
      </c>
      <c r="E181">
        <v>0</v>
      </c>
      <c r="F181" t="s">
        <v>76</v>
      </c>
      <c r="G181">
        <v>0.88149999999999995</v>
      </c>
      <c r="H181">
        <v>1</v>
      </c>
      <c r="I181">
        <v>0.74399999999999999</v>
      </c>
      <c r="J181">
        <v>1.8140000000000001</v>
      </c>
      <c r="K181">
        <v>1.9159999999999999</v>
      </c>
      <c r="L181">
        <v>2.9929999999999999</v>
      </c>
      <c r="M181">
        <v>0.53700000000000003</v>
      </c>
      <c r="N181">
        <v>1.1419999999999999</v>
      </c>
      <c r="O181">
        <v>0.46899999999999997</v>
      </c>
      <c r="P181">
        <v>4.8239999999999998</v>
      </c>
      <c r="Q181">
        <v>0</v>
      </c>
      <c r="R181">
        <v>7468.5</v>
      </c>
      <c r="S181">
        <v>0.98499999999999999</v>
      </c>
      <c r="T181">
        <v>7.93</v>
      </c>
      <c r="U181">
        <v>5.66</v>
      </c>
      <c r="V181">
        <v>53.5</v>
      </c>
      <c r="W181" t="s">
        <v>54</v>
      </c>
      <c r="X181" t="s">
        <v>55</v>
      </c>
      <c r="Y181" t="s">
        <v>59</v>
      </c>
      <c r="Z181">
        <v>0.47699999999999998</v>
      </c>
      <c r="AA181">
        <v>0.72599999999999998</v>
      </c>
      <c r="AB181">
        <v>100</v>
      </c>
      <c r="AC181">
        <v>7.4</v>
      </c>
      <c r="AE181">
        <v>-78.524299999999997</v>
      </c>
      <c r="AF181">
        <v>-0.22949800000000001</v>
      </c>
      <c r="AG181" t="s">
        <v>57</v>
      </c>
      <c r="AH181" t="s">
        <v>58</v>
      </c>
      <c r="AI181">
        <v>4440.7299999999996</v>
      </c>
      <c r="AJ181">
        <v>2.722877</v>
      </c>
      <c r="AK181">
        <v>59400000000</v>
      </c>
      <c r="AL181">
        <v>17.23809</v>
      </c>
      <c r="AN181">
        <v>-1.1926749999999999</v>
      </c>
      <c r="AO181">
        <v>64.186670000000007</v>
      </c>
      <c r="AP181">
        <v>47.241630000000001</v>
      </c>
      <c r="AQ181">
        <v>2.6871309999999999</v>
      </c>
      <c r="AR181">
        <v>10.71391</v>
      </c>
      <c r="AS181">
        <v>1.373899</v>
      </c>
      <c r="AT181">
        <v>2.0706530000000001</v>
      </c>
      <c r="AU181">
        <v>0.21996099999999999</v>
      </c>
      <c r="AV181">
        <v>2.0706530000000001</v>
      </c>
      <c r="AW181">
        <v>24.80707</v>
      </c>
      <c r="AX181">
        <v>4.55</v>
      </c>
      <c r="AY181">
        <v>2.99587104970621</v>
      </c>
      <c r="AZ181" s="1">
        <v>0.51649999618530296</v>
      </c>
      <c r="BA181" s="1">
        <v>0.226000010967255</v>
      </c>
      <c r="BB181" s="1">
        <v>0.74250000715255704</v>
      </c>
      <c r="BC181" s="1">
        <v>7.2992699999999999</v>
      </c>
      <c r="BD181" s="2">
        <v>47.241630694403</v>
      </c>
      <c r="BE181" s="2">
        <f t="shared" si="4"/>
        <v>2.1349189469230012</v>
      </c>
      <c r="BF181" s="2">
        <f t="shared" si="5"/>
        <v>4.323750773254047</v>
      </c>
      <c r="BH181" s="3"/>
      <c r="BM181" s="3">
        <v>871.51340000000005</v>
      </c>
      <c r="BN181">
        <v>88.25240000000008</v>
      </c>
      <c r="BO181">
        <v>11.267304257456978</v>
      </c>
      <c r="BP181">
        <v>12608751260.537901</v>
      </c>
      <c r="BQ181">
        <v>47352467.875</v>
      </c>
      <c r="BR181">
        <v>0.37696811204384756</v>
      </c>
      <c r="BS181">
        <v>0.88147160000000002</v>
      </c>
      <c r="BT181">
        <v>1.2998099999999999</v>
      </c>
      <c r="BU181">
        <v>0.98482124831711804</v>
      </c>
    </row>
    <row r="182" spans="1:73" x14ac:dyDescent="0.2">
      <c r="A182">
        <v>181</v>
      </c>
      <c r="B182" t="s">
        <v>75</v>
      </c>
      <c r="C182">
        <v>2004</v>
      </c>
      <c r="D182">
        <v>7</v>
      </c>
      <c r="E182">
        <v>0</v>
      </c>
      <c r="F182" t="s">
        <v>76</v>
      </c>
      <c r="G182">
        <v>0.88149999999999995</v>
      </c>
      <c r="H182">
        <v>0</v>
      </c>
      <c r="I182">
        <v>0.74399999999999999</v>
      </c>
      <c r="J182">
        <v>1.8140000000000001</v>
      </c>
      <c r="K182">
        <v>1.9159999999999999</v>
      </c>
      <c r="L182">
        <v>2.9929999999999999</v>
      </c>
      <c r="M182">
        <v>0.53700000000000003</v>
      </c>
      <c r="N182">
        <v>1.1419999999999999</v>
      </c>
      <c r="O182">
        <v>0.46899999999999997</v>
      </c>
      <c r="P182">
        <v>4.484</v>
      </c>
      <c r="Q182">
        <v>0</v>
      </c>
      <c r="R182">
        <v>7958.9</v>
      </c>
      <c r="S182">
        <v>6.407</v>
      </c>
      <c r="T182">
        <v>2.74</v>
      </c>
      <c r="U182">
        <v>5</v>
      </c>
      <c r="V182">
        <v>53.9</v>
      </c>
      <c r="W182" t="s">
        <v>54</v>
      </c>
      <c r="X182" t="s">
        <v>55</v>
      </c>
      <c r="Y182" t="s">
        <v>59</v>
      </c>
      <c r="Z182">
        <v>0.47399999999999998</v>
      </c>
      <c r="AA182">
        <v>0.72599999999999998</v>
      </c>
      <c r="AB182">
        <v>100</v>
      </c>
      <c r="AC182">
        <v>7.4</v>
      </c>
      <c r="AE182">
        <v>-78.524299999999997</v>
      </c>
      <c r="AF182">
        <v>-0.22949800000000001</v>
      </c>
      <c r="AG182" t="s">
        <v>57</v>
      </c>
      <c r="AH182" t="s">
        <v>58</v>
      </c>
      <c r="AI182">
        <v>4725.232</v>
      </c>
      <c r="AJ182">
        <v>8.2110199999999995</v>
      </c>
      <c r="AK182">
        <v>64300000000</v>
      </c>
      <c r="AL182">
        <v>19.75733</v>
      </c>
      <c r="AN182">
        <v>-1.3101970000000001</v>
      </c>
      <c r="AO182">
        <v>63.407310000000003</v>
      </c>
      <c r="AP182">
        <v>50.665239999999997</v>
      </c>
      <c r="AQ182">
        <v>2.2872409999999999</v>
      </c>
      <c r="AR182">
        <v>10.88435</v>
      </c>
      <c r="AS182">
        <v>5.488143</v>
      </c>
      <c r="AT182">
        <v>1.0079579999999999</v>
      </c>
      <c r="AU182">
        <v>0.21996099999999999</v>
      </c>
      <c r="AV182">
        <v>1.0079579999999999</v>
      </c>
      <c r="AW182">
        <v>24.88599</v>
      </c>
      <c r="AX182">
        <v>5.19</v>
      </c>
      <c r="AY182">
        <v>2.99587104970621</v>
      </c>
      <c r="AZ182" s="1">
        <v>0.51649999618530296</v>
      </c>
      <c r="BA182" s="1">
        <v>0.226000010967255</v>
      </c>
      <c r="BB182" s="1">
        <v>0.74250000715255704</v>
      </c>
      <c r="BC182" s="1">
        <v>7.2992699999999999</v>
      </c>
      <c r="BD182" s="2">
        <v>50.665240367197001</v>
      </c>
      <c r="BE182" s="2">
        <f t="shared" si="4"/>
        <v>3.4236096727940009</v>
      </c>
      <c r="BF182" s="2">
        <f t="shared" si="5"/>
        <v>7.2470184082777998</v>
      </c>
      <c r="BH182" s="3"/>
      <c r="BM182" s="3">
        <v>836.93949999999995</v>
      </c>
      <c r="BN182">
        <v>34.573900000000094</v>
      </c>
      <c r="BO182">
        <v>3.967110545861956</v>
      </c>
      <c r="BP182">
        <v>13274543157.0371</v>
      </c>
      <c r="BQ182">
        <v>665791896.49919891</v>
      </c>
      <c r="BR182">
        <v>5.2803952012516397</v>
      </c>
      <c r="BS182">
        <v>0.1704426</v>
      </c>
      <c r="BT182">
        <v>5.421843</v>
      </c>
      <c r="BU182">
        <v>6.4066642480912597</v>
      </c>
    </row>
    <row r="183" spans="1:73" x14ac:dyDescent="0.2">
      <c r="A183">
        <v>182</v>
      </c>
      <c r="B183" t="s">
        <v>75</v>
      </c>
      <c r="C183">
        <v>2005</v>
      </c>
      <c r="D183">
        <v>7</v>
      </c>
      <c r="E183">
        <v>0</v>
      </c>
      <c r="F183" t="s">
        <v>76</v>
      </c>
      <c r="G183">
        <v>0.88149999999999995</v>
      </c>
      <c r="H183">
        <v>0</v>
      </c>
      <c r="I183">
        <v>0.74399999999999999</v>
      </c>
      <c r="J183">
        <v>1.8140000000000001</v>
      </c>
      <c r="K183">
        <v>1.9159999999999999</v>
      </c>
      <c r="L183">
        <v>2.9929999999999999</v>
      </c>
      <c r="M183">
        <v>0.53700000000000003</v>
      </c>
      <c r="N183">
        <v>1.1419999999999999</v>
      </c>
      <c r="O183">
        <v>0.46899999999999997</v>
      </c>
      <c r="P183">
        <v>4.0960000000000001</v>
      </c>
      <c r="Q183">
        <v>0</v>
      </c>
      <c r="R183">
        <v>8256.7999999999993</v>
      </c>
      <c r="S183">
        <v>3.544</v>
      </c>
      <c r="T183">
        <v>2.41</v>
      </c>
      <c r="U183">
        <v>3.78</v>
      </c>
      <c r="V183">
        <v>53.1</v>
      </c>
      <c r="W183" t="s">
        <v>54</v>
      </c>
      <c r="X183" t="s">
        <v>55</v>
      </c>
      <c r="Y183" t="s">
        <v>59</v>
      </c>
      <c r="Z183">
        <v>0.47299999999999998</v>
      </c>
      <c r="AA183">
        <v>0.72599999999999998</v>
      </c>
      <c r="AB183">
        <v>100</v>
      </c>
      <c r="AC183">
        <v>7.4</v>
      </c>
      <c r="AE183">
        <v>-78.524299999999997</v>
      </c>
      <c r="AF183">
        <v>-0.22949800000000001</v>
      </c>
      <c r="AG183" t="s">
        <v>57</v>
      </c>
      <c r="AH183" t="s">
        <v>58</v>
      </c>
      <c r="AI183">
        <v>4892.6909999999998</v>
      </c>
      <c r="AJ183">
        <v>5.2913079999999999</v>
      </c>
      <c r="AK183">
        <v>67700000000</v>
      </c>
      <c r="AL183">
        <v>21.333760000000002</v>
      </c>
      <c r="AN183">
        <v>1.141794</v>
      </c>
      <c r="AO183">
        <v>62.678019999999997</v>
      </c>
      <c r="AP183">
        <v>56.099829999999997</v>
      </c>
      <c r="AQ183">
        <v>1.1887460000000001</v>
      </c>
      <c r="AR183">
        <v>10.717840000000001</v>
      </c>
      <c r="AS183">
        <v>2.9197120000000001</v>
      </c>
      <c r="AT183">
        <v>0.87962680000000004</v>
      </c>
      <c r="AU183">
        <v>0.21996099999999999</v>
      </c>
      <c r="AV183">
        <v>0.87962680000000004</v>
      </c>
      <c r="AW183">
        <v>24.937550000000002</v>
      </c>
      <c r="AX183">
        <v>0.32999990000000001</v>
      </c>
      <c r="AY183">
        <v>2.99587104970621</v>
      </c>
      <c r="AZ183" s="1">
        <v>0.51649999618530296</v>
      </c>
      <c r="BA183" s="1">
        <v>0.226000010967255</v>
      </c>
      <c r="BB183" s="1">
        <v>0.74250000715255704</v>
      </c>
      <c r="BC183" s="1">
        <v>7.4404760000000003</v>
      </c>
      <c r="BD183" s="2">
        <v>56.099829703772002</v>
      </c>
      <c r="BE183" s="2">
        <f t="shared" si="4"/>
        <v>5.4345893365750015</v>
      </c>
      <c r="BF183" s="2">
        <f t="shared" si="5"/>
        <v>10.72646512123054</v>
      </c>
      <c r="BH183" s="3"/>
      <c r="BM183" s="3">
        <v>493.41379999999998</v>
      </c>
      <c r="BN183">
        <v>343.52569999999997</v>
      </c>
      <c r="BO183">
        <v>41.045463859693562</v>
      </c>
      <c r="BP183">
        <v>14700739713.3256</v>
      </c>
      <c r="BQ183">
        <v>1426196556.2884998</v>
      </c>
      <c r="BR183">
        <v>10.743846619930153</v>
      </c>
      <c r="BS183">
        <v>0.16650960000000001</v>
      </c>
      <c r="BT183">
        <v>2.8627359999999999</v>
      </c>
      <c r="BU183">
        <v>3.5439289296132199</v>
      </c>
    </row>
    <row r="184" spans="1:73" x14ac:dyDescent="0.2">
      <c r="A184">
        <v>183</v>
      </c>
      <c r="B184" t="s">
        <v>75</v>
      </c>
      <c r="C184">
        <v>2006</v>
      </c>
      <c r="D184">
        <v>7</v>
      </c>
      <c r="E184">
        <v>0</v>
      </c>
      <c r="F184" t="s">
        <v>76</v>
      </c>
      <c r="G184">
        <v>0.88149999999999995</v>
      </c>
      <c r="H184">
        <v>0</v>
      </c>
      <c r="I184">
        <v>0.13400000000000001</v>
      </c>
      <c r="J184">
        <v>1.3</v>
      </c>
      <c r="K184">
        <v>1.131</v>
      </c>
      <c r="L184">
        <v>2.5329999999999999</v>
      </c>
      <c r="M184">
        <v>0.245</v>
      </c>
      <c r="N184">
        <v>1.147</v>
      </c>
      <c r="O184">
        <v>0.46899999999999997</v>
      </c>
      <c r="P184">
        <v>4.2240000000000002</v>
      </c>
      <c r="Q184">
        <v>1</v>
      </c>
      <c r="R184">
        <v>8521.6</v>
      </c>
      <c r="S184">
        <v>2.669</v>
      </c>
      <c r="T184">
        <v>3.3</v>
      </c>
      <c r="U184">
        <v>3.55</v>
      </c>
      <c r="V184">
        <v>52.3</v>
      </c>
      <c r="W184" t="s">
        <v>54</v>
      </c>
      <c r="X184" t="s">
        <v>55</v>
      </c>
      <c r="Y184" t="s">
        <v>59</v>
      </c>
      <c r="Z184">
        <v>0.47399999999999998</v>
      </c>
      <c r="AA184">
        <v>0.73299999999999998</v>
      </c>
      <c r="AB184">
        <v>100</v>
      </c>
      <c r="AC184">
        <v>7.4</v>
      </c>
      <c r="AE184">
        <v>-78.524299999999997</v>
      </c>
      <c r="AF184">
        <v>-0.22949800000000001</v>
      </c>
      <c r="AG184" t="s">
        <v>57</v>
      </c>
      <c r="AH184" t="s">
        <v>58</v>
      </c>
      <c r="AI184">
        <v>5023.2910000000002</v>
      </c>
      <c r="AJ184">
        <v>4.4035260000000003</v>
      </c>
      <c r="AK184">
        <v>70600000000</v>
      </c>
      <c r="AL184">
        <v>21.800979999999999</v>
      </c>
      <c r="AN184">
        <v>3.7176300000000002</v>
      </c>
      <c r="AO184">
        <v>61.818150000000003</v>
      </c>
      <c r="AP184">
        <v>59.709780000000002</v>
      </c>
      <c r="AQ184">
        <v>0.57995090000000005</v>
      </c>
      <c r="AR184">
        <v>10.601889999999999</v>
      </c>
      <c r="AS184">
        <v>0.88778210000000002</v>
      </c>
      <c r="AT184">
        <v>1.1939219999999999</v>
      </c>
      <c r="AU184">
        <v>0.21996099999999999</v>
      </c>
      <c r="AV184">
        <v>1.1939219999999999</v>
      </c>
      <c r="AW184">
        <v>24.980640000000001</v>
      </c>
      <c r="AX184">
        <v>0.88999989999999995</v>
      </c>
      <c r="AY184">
        <v>2.99587104970621</v>
      </c>
      <c r="AZ184" s="1">
        <v>0.39699998497963002</v>
      </c>
      <c r="BA184" s="1">
        <v>0.26800000667571999</v>
      </c>
      <c r="BB184" s="1">
        <v>0.66499996185302701</v>
      </c>
      <c r="BC184" s="1">
        <v>7.4404760000000003</v>
      </c>
      <c r="BD184" s="2">
        <v>59.709783188102001</v>
      </c>
      <c r="BE184" s="2">
        <f t="shared" si="4"/>
        <v>3.6099534843299992</v>
      </c>
      <c r="BF184" s="2">
        <f t="shared" si="5"/>
        <v>6.4348742293727055</v>
      </c>
      <c r="BH184" s="3"/>
      <c r="BM184" s="3">
        <v>271.42880000000002</v>
      </c>
      <c r="BN184">
        <v>221.98499999999996</v>
      </c>
      <c r="BO184">
        <v>44.989621287446759</v>
      </c>
      <c r="BP184">
        <v>15433323400.541401</v>
      </c>
      <c r="BQ184">
        <v>732583687.21580124</v>
      </c>
      <c r="BR184">
        <v>4.983311734658801</v>
      </c>
      <c r="BS184">
        <v>0.1159515</v>
      </c>
      <c r="BT184">
        <v>0.8746469</v>
      </c>
      <c r="BU184">
        <v>2.6692820149740299</v>
      </c>
    </row>
    <row r="185" spans="1:73" x14ac:dyDescent="0.2">
      <c r="A185">
        <v>184</v>
      </c>
      <c r="B185" t="s">
        <v>75</v>
      </c>
      <c r="C185">
        <v>2007</v>
      </c>
      <c r="D185">
        <v>7</v>
      </c>
      <c r="E185">
        <v>1</v>
      </c>
      <c r="F185" t="s">
        <v>76</v>
      </c>
      <c r="G185">
        <v>0.88149999999999995</v>
      </c>
      <c r="H185">
        <v>0</v>
      </c>
      <c r="I185">
        <v>0.13400000000000001</v>
      </c>
      <c r="J185">
        <v>1.3</v>
      </c>
      <c r="K185">
        <v>1.131</v>
      </c>
      <c r="L185">
        <v>2.5329999999999999</v>
      </c>
      <c r="M185">
        <v>0.245</v>
      </c>
      <c r="N185">
        <v>1.147</v>
      </c>
      <c r="O185">
        <v>1.099</v>
      </c>
      <c r="P185">
        <v>3.8340000000000001</v>
      </c>
      <c r="Q185">
        <v>0</v>
      </c>
      <c r="R185">
        <v>8633.6</v>
      </c>
      <c r="S185">
        <v>0.495</v>
      </c>
      <c r="T185">
        <v>2.2799999999999998</v>
      </c>
      <c r="U185">
        <v>3.14</v>
      </c>
      <c r="V185">
        <v>53.4</v>
      </c>
      <c r="W185" t="s">
        <v>54</v>
      </c>
      <c r="X185" t="s">
        <v>55</v>
      </c>
      <c r="Y185" t="s">
        <v>59</v>
      </c>
      <c r="Z185">
        <v>0.42099999999999999</v>
      </c>
      <c r="AA185">
        <v>0.69699999999999995</v>
      </c>
      <c r="AB185">
        <v>100</v>
      </c>
      <c r="AC185">
        <v>7.4</v>
      </c>
      <c r="AE185">
        <v>-78.524299999999997</v>
      </c>
      <c r="AF185">
        <v>-0.22949800000000001</v>
      </c>
      <c r="AG185" t="s">
        <v>57</v>
      </c>
      <c r="AH185" t="s">
        <v>58</v>
      </c>
      <c r="AI185">
        <v>5048.1450000000004</v>
      </c>
      <c r="AJ185">
        <v>2.190064</v>
      </c>
      <c r="AK185">
        <v>72200000000</v>
      </c>
      <c r="AL185">
        <v>22.84918</v>
      </c>
      <c r="AN185">
        <v>3.6984340000000002</v>
      </c>
      <c r="AO185">
        <v>61.053199999999997</v>
      </c>
      <c r="AP185">
        <v>62.587139999999998</v>
      </c>
      <c r="AQ185">
        <v>0.38008419999999998</v>
      </c>
      <c r="AR185">
        <v>10.92815</v>
      </c>
      <c r="AS185">
        <v>2.2134619999999998</v>
      </c>
      <c r="AT185">
        <v>0.8241754</v>
      </c>
      <c r="AU185">
        <v>1.2078009999999999</v>
      </c>
      <c r="AV185">
        <v>0.8241754</v>
      </c>
      <c r="AW185">
        <v>25.002310000000001</v>
      </c>
      <c r="AX185">
        <v>1.02</v>
      </c>
      <c r="AY185">
        <v>3.4961092583770101</v>
      </c>
      <c r="AZ185" s="1">
        <v>0.39699998497963002</v>
      </c>
      <c r="BA185" s="1">
        <v>0.26800000667571999</v>
      </c>
      <c r="BB185" s="1">
        <v>0.66499996185302701</v>
      </c>
      <c r="BC185" s="1">
        <v>5.6306304999999996</v>
      </c>
      <c r="BD185" s="2">
        <v>62.58713842793</v>
      </c>
      <c r="BE185" s="2">
        <f t="shared" si="4"/>
        <v>2.8773552398279989</v>
      </c>
      <c r="BF185" s="2">
        <f t="shared" si="5"/>
        <v>4.8189008336599555</v>
      </c>
      <c r="BH185" s="3"/>
      <c r="BJ185" s="3">
        <v>4538</v>
      </c>
      <c r="BM185" s="3">
        <v>193.8725</v>
      </c>
      <c r="BN185">
        <v>77.556300000000022</v>
      </c>
      <c r="BO185">
        <v>28.573349622442429</v>
      </c>
      <c r="BP185">
        <v>16007707415.5028</v>
      </c>
      <c r="BQ185">
        <v>574384014.96139908</v>
      </c>
      <c r="BR185">
        <v>3.7217130753655412</v>
      </c>
      <c r="BS185">
        <v>0.32626149999999998</v>
      </c>
      <c r="BT185">
        <v>2.1745169999999998</v>
      </c>
      <c r="BU185">
        <v>0.49476534135735101</v>
      </c>
    </row>
    <row r="186" spans="1:73" x14ac:dyDescent="0.2">
      <c r="A186">
        <v>185</v>
      </c>
      <c r="B186" t="s">
        <v>75</v>
      </c>
      <c r="C186">
        <v>2008</v>
      </c>
      <c r="D186">
        <v>7</v>
      </c>
      <c r="E186">
        <v>0</v>
      </c>
      <c r="F186" t="s">
        <v>76</v>
      </c>
      <c r="G186">
        <v>0.47094000000000003</v>
      </c>
      <c r="H186">
        <v>0</v>
      </c>
      <c r="I186">
        <v>0.13400000000000001</v>
      </c>
      <c r="J186">
        <v>1.3</v>
      </c>
      <c r="K186">
        <v>1.131</v>
      </c>
      <c r="L186">
        <v>2.5329999999999999</v>
      </c>
      <c r="M186">
        <v>0.245</v>
      </c>
      <c r="N186">
        <v>1.147</v>
      </c>
      <c r="O186">
        <v>1.504</v>
      </c>
      <c r="P186">
        <v>4.2249999999999996</v>
      </c>
      <c r="Q186">
        <v>0</v>
      </c>
      <c r="R186">
        <v>9103.9</v>
      </c>
      <c r="S186">
        <v>4.6070000000000002</v>
      </c>
      <c r="T186">
        <v>8.4</v>
      </c>
      <c r="U186">
        <v>3.92</v>
      </c>
      <c r="V186">
        <v>49.8</v>
      </c>
      <c r="W186" t="s">
        <v>54</v>
      </c>
      <c r="X186" t="s">
        <v>55</v>
      </c>
      <c r="Y186" t="s">
        <v>59</v>
      </c>
      <c r="Z186">
        <v>0.36199999999999999</v>
      </c>
      <c r="AA186">
        <v>0.67100000000000004</v>
      </c>
      <c r="AB186">
        <v>100</v>
      </c>
      <c r="AC186">
        <v>7.4</v>
      </c>
      <c r="AE186">
        <v>-78.524299999999997</v>
      </c>
      <c r="AF186">
        <v>-0.22949800000000001</v>
      </c>
      <c r="AG186" t="s">
        <v>57</v>
      </c>
      <c r="AH186" t="s">
        <v>58</v>
      </c>
      <c r="AI186">
        <v>5280.7139999999999</v>
      </c>
      <c r="AJ186">
        <v>6.3571309999999999</v>
      </c>
      <c r="AK186">
        <v>76800000000</v>
      </c>
      <c r="AL186">
        <v>23.72306</v>
      </c>
      <c r="AN186">
        <v>2.8648509999999998</v>
      </c>
      <c r="AO186">
        <v>60.33334</v>
      </c>
      <c r="AP186">
        <v>68.056950000000001</v>
      </c>
      <c r="AQ186">
        <v>1.712045</v>
      </c>
      <c r="AR186">
        <v>11.83043</v>
      </c>
      <c r="AS186">
        <v>4.1670670000000003</v>
      </c>
      <c r="AT186">
        <v>2.1282320000000001</v>
      </c>
      <c r="AU186">
        <v>2.262016</v>
      </c>
      <c r="AV186">
        <v>2.1282320000000001</v>
      </c>
      <c r="AW186">
        <v>25.063939999999999</v>
      </c>
      <c r="AX186">
        <v>6.12</v>
      </c>
      <c r="AY186">
        <v>3.8176909639510899</v>
      </c>
      <c r="AZ186" s="1">
        <v>0.39699998497963002</v>
      </c>
      <c r="BA186" s="1">
        <v>0.26800000667571999</v>
      </c>
      <c r="BB186" s="1">
        <v>0.66499996185302701</v>
      </c>
      <c r="BC186" s="1">
        <v>2.3937678</v>
      </c>
      <c r="BD186" s="2">
        <v>68.056947376031005</v>
      </c>
      <c r="BE186" s="2">
        <f t="shared" si="4"/>
        <v>5.4698089481010044</v>
      </c>
      <c r="BF186" s="2">
        <f t="shared" si="5"/>
        <v>8.7395095629744581</v>
      </c>
      <c r="BG186">
        <v>16753</v>
      </c>
      <c r="BH186" s="3">
        <v>5650</v>
      </c>
      <c r="BI186">
        <v>50.887147617760967</v>
      </c>
      <c r="BJ186" s="3">
        <v>8880</v>
      </c>
      <c r="BK186">
        <v>4342</v>
      </c>
      <c r="BL186">
        <v>95.680916703393564</v>
      </c>
      <c r="BM186" s="3">
        <v>1057.3679999999999</v>
      </c>
      <c r="BN186">
        <v>863.49549999999999</v>
      </c>
      <c r="BO186">
        <v>445.39349314626884</v>
      </c>
      <c r="BP186">
        <v>18564764857.136002</v>
      </c>
      <c r="BQ186">
        <v>2557057441.6332016</v>
      </c>
      <c r="BR186">
        <v>15.973914160604895</v>
      </c>
      <c r="BS186">
        <v>0.90227990000000002</v>
      </c>
      <c r="BT186">
        <v>4.1122560000000004</v>
      </c>
      <c r="BU186">
        <v>4.6070211015498197</v>
      </c>
    </row>
    <row r="187" spans="1:73" x14ac:dyDescent="0.2">
      <c r="A187">
        <v>186</v>
      </c>
      <c r="B187" t="s">
        <v>75</v>
      </c>
      <c r="C187">
        <v>2009</v>
      </c>
      <c r="D187">
        <v>7</v>
      </c>
      <c r="E187">
        <v>1</v>
      </c>
      <c r="F187" t="s">
        <v>76</v>
      </c>
      <c r="G187">
        <v>0.47094000000000003</v>
      </c>
      <c r="H187">
        <v>0</v>
      </c>
      <c r="I187">
        <v>2.1459999999999999</v>
      </c>
      <c r="J187">
        <v>2.0579999999999998</v>
      </c>
      <c r="K187">
        <v>3.2559999999999998</v>
      </c>
      <c r="L187">
        <v>3.1880000000000002</v>
      </c>
      <c r="M187">
        <v>1.2310000000000001</v>
      </c>
      <c r="N187">
        <v>1.202</v>
      </c>
      <c r="O187">
        <v>1.504</v>
      </c>
      <c r="P187">
        <v>3.3370000000000002</v>
      </c>
      <c r="Q187">
        <v>1</v>
      </c>
      <c r="R187">
        <v>9081.4</v>
      </c>
      <c r="S187">
        <v>-1.0580000000000001</v>
      </c>
      <c r="T187">
        <v>5.16</v>
      </c>
      <c r="U187">
        <v>4.6100000000000003</v>
      </c>
      <c r="V187">
        <v>48.5</v>
      </c>
      <c r="W187" t="s">
        <v>54</v>
      </c>
      <c r="X187" t="s">
        <v>55</v>
      </c>
      <c r="Y187" t="s">
        <v>59</v>
      </c>
      <c r="Z187">
        <v>0.33700000000000002</v>
      </c>
      <c r="AA187">
        <v>0.63600000000000001</v>
      </c>
      <c r="AB187">
        <v>124</v>
      </c>
      <c r="AC187">
        <v>2.74</v>
      </c>
      <c r="AE187">
        <v>-78.524299999999997</v>
      </c>
      <c r="AF187">
        <v>-0.22949800000000001</v>
      </c>
      <c r="AG187" t="s">
        <v>57</v>
      </c>
      <c r="AH187" t="s">
        <v>58</v>
      </c>
      <c r="AI187">
        <v>5224.8379999999997</v>
      </c>
      <c r="AJ187">
        <v>0.56649159999999998</v>
      </c>
      <c r="AK187">
        <v>77200000000</v>
      </c>
      <c r="AL187">
        <v>23.924340000000001</v>
      </c>
      <c r="AN187">
        <v>0.50072130000000004</v>
      </c>
      <c r="AO187">
        <v>59.592269999999999</v>
      </c>
      <c r="AP187">
        <v>52.104849999999999</v>
      </c>
      <c r="AQ187">
        <v>0.49365229999999999</v>
      </c>
      <c r="AR187">
        <v>13.725720000000001</v>
      </c>
      <c r="AS187">
        <v>5.7906389999999996</v>
      </c>
      <c r="AT187">
        <v>1.640936</v>
      </c>
      <c r="AU187">
        <v>2.262016</v>
      </c>
      <c r="AV187">
        <v>1.640936</v>
      </c>
      <c r="AW187">
        <v>25.069590000000002</v>
      </c>
      <c r="AX187">
        <v>3.24</v>
      </c>
      <c r="AY187">
        <v>3.8176909639510899</v>
      </c>
      <c r="AZ187" s="1">
        <v>0.36149999499321001</v>
      </c>
      <c r="BA187" s="1">
        <v>0.17550000548362699</v>
      </c>
      <c r="BB187" s="1">
        <v>0.53700000047683705</v>
      </c>
      <c r="BC187" s="1">
        <v>3.6855226000000001</v>
      </c>
      <c r="BD187" s="2">
        <v>52.104849023074003</v>
      </c>
      <c r="BE187" s="2">
        <f t="shared" si="4"/>
        <v>15.952098352957002</v>
      </c>
      <c r="BF187" s="2">
        <f t="shared" si="5"/>
        <v>23.439338624487259</v>
      </c>
      <c r="BG187">
        <v>18146</v>
      </c>
      <c r="BH187" s="3">
        <v>1393</v>
      </c>
      <c r="BI187">
        <v>8.3149286694920317</v>
      </c>
      <c r="BJ187" s="3">
        <v>9210</v>
      </c>
      <c r="BK187">
        <v>330</v>
      </c>
      <c r="BL187">
        <v>3.7162162162162162</v>
      </c>
      <c r="BM187" s="3">
        <v>308.61079999999998</v>
      </c>
      <c r="BN187">
        <v>748.75720000000001</v>
      </c>
      <c r="BO187">
        <v>70.813302464231953</v>
      </c>
      <c r="BP187">
        <v>17895553513.486401</v>
      </c>
      <c r="BQ187">
        <v>669211343.64960098</v>
      </c>
      <c r="BR187">
        <v>3.6047391324343478</v>
      </c>
      <c r="BS187">
        <v>1.8952819999999999</v>
      </c>
      <c r="BT187">
        <v>5.6651230000000004</v>
      </c>
      <c r="BU187">
        <v>-1.05810136505242</v>
      </c>
    </row>
    <row r="188" spans="1:73" x14ac:dyDescent="0.2">
      <c r="A188">
        <v>187</v>
      </c>
      <c r="B188" t="s">
        <v>75</v>
      </c>
      <c r="C188">
        <v>2010</v>
      </c>
      <c r="D188">
        <v>7</v>
      </c>
      <c r="E188">
        <v>0</v>
      </c>
      <c r="F188" t="s">
        <v>76</v>
      </c>
      <c r="G188">
        <v>0.47094000000000003</v>
      </c>
      <c r="H188">
        <v>0</v>
      </c>
      <c r="I188">
        <v>2.1459999999999999</v>
      </c>
      <c r="J188">
        <v>2.0579999999999998</v>
      </c>
      <c r="K188">
        <v>3.2559999999999998</v>
      </c>
      <c r="L188">
        <v>3.1880000000000002</v>
      </c>
      <c r="M188">
        <v>1.2310000000000001</v>
      </c>
      <c r="N188">
        <v>1.202</v>
      </c>
      <c r="O188">
        <v>1.504</v>
      </c>
      <c r="P188">
        <v>2.8540000000000001</v>
      </c>
      <c r="Q188">
        <v>0</v>
      </c>
      <c r="R188">
        <v>9327.2000000000007</v>
      </c>
      <c r="S188">
        <v>1.893</v>
      </c>
      <c r="T188">
        <v>3.55</v>
      </c>
      <c r="U188">
        <v>4.09</v>
      </c>
      <c r="V188">
        <v>48.8</v>
      </c>
      <c r="W188" t="s">
        <v>54</v>
      </c>
      <c r="X188" t="s">
        <v>55</v>
      </c>
      <c r="Y188" t="s">
        <v>59</v>
      </c>
      <c r="Z188">
        <v>0.30499999999999999</v>
      </c>
      <c r="AA188">
        <v>0.59799999999999998</v>
      </c>
      <c r="AB188">
        <v>124</v>
      </c>
      <c r="AC188">
        <v>2.74</v>
      </c>
      <c r="AE188">
        <v>-78.524299999999997</v>
      </c>
      <c r="AF188">
        <v>-0.22949800000000001</v>
      </c>
      <c r="AG188" t="s">
        <v>57</v>
      </c>
      <c r="AH188" t="s">
        <v>58</v>
      </c>
      <c r="AI188">
        <v>5323.7370000000001</v>
      </c>
      <c r="AJ188">
        <v>3.525299</v>
      </c>
      <c r="AK188">
        <v>79900000000</v>
      </c>
      <c r="AL188">
        <v>26.537610000000001</v>
      </c>
      <c r="AN188">
        <v>-2.2748599999999999</v>
      </c>
      <c r="AO188">
        <v>58.813270000000003</v>
      </c>
      <c r="AP188">
        <v>60.303240000000002</v>
      </c>
      <c r="AQ188">
        <v>0.23850540000000001</v>
      </c>
      <c r="AR188">
        <v>13.19965</v>
      </c>
      <c r="AS188">
        <v>2.9588070000000002</v>
      </c>
      <c r="AT188">
        <v>1.266948</v>
      </c>
      <c r="AU188">
        <v>2.262016</v>
      </c>
      <c r="AV188">
        <v>1.266948</v>
      </c>
      <c r="AW188">
        <v>25.104230000000001</v>
      </c>
      <c r="AX188">
        <v>1.61</v>
      </c>
      <c r="AY188">
        <v>3.8176909639510899</v>
      </c>
      <c r="AZ188" s="1">
        <v>0.36149999499321001</v>
      </c>
      <c r="BA188" s="1">
        <v>0.17550000548362699</v>
      </c>
      <c r="BB188" s="1">
        <v>0.53700000047683705</v>
      </c>
      <c r="BC188" s="1">
        <v>3.6855226000000001</v>
      </c>
      <c r="BD188" s="2">
        <v>60.303238713412</v>
      </c>
      <c r="BE188" s="2">
        <f t="shared" si="4"/>
        <v>8.1983896903379971</v>
      </c>
      <c r="BF188" s="2">
        <f t="shared" si="5"/>
        <v>15.734408301821274</v>
      </c>
      <c r="BG188">
        <v>21689</v>
      </c>
      <c r="BH188" s="3">
        <v>3543</v>
      </c>
      <c r="BI188">
        <v>19.524964179433486</v>
      </c>
      <c r="BJ188" s="3">
        <v>10776</v>
      </c>
      <c r="BK188">
        <v>1566</v>
      </c>
      <c r="BL188">
        <v>17.003257328990227</v>
      </c>
      <c r="BM188" s="3">
        <v>165.8663</v>
      </c>
      <c r="BN188">
        <v>142.74449999999999</v>
      </c>
      <c r="BO188">
        <v>46.253890012922426</v>
      </c>
      <c r="BP188">
        <v>19719085899.9963</v>
      </c>
      <c r="BQ188">
        <v>1823532386.5098991</v>
      </c>
      <c r="BR188">
        <v>10.189863002201376</v>
      </c>
      <c r="BS188">
        <v>0.52606390000000003</v>
      </c>
      <c r="BT188">
        <v>2.9509669999999999</v>
      </c>
      <c r="BU188">
        <v>1.8928651769599001</v>
      </c>
    </row>
    <row r="189" spans="1:73" x14ac:dyDescent="0.2">
      <c r="A189">
        <v>188</v>
      </c>
      <c r="B189" t="s">
        <v>75</v>
      </c>
      <c r="C189">
        <v>2011</v>
      </c>
      <c r="D189">
        <v>7</v>
      </c>
      <c r="E189">
        <v>0</v>
      </c>
      <c r="F189" t="s">
        <v>76</v>
      </c>
      <c r="G189">
        <v>0.47094000000000003</v>
      </c>
      <c r="H189">
        <v>0</v>
      </c>
      <c r="I189">
        <v>2.1459999999999999</v>
      </c>
      <c r="J189">
        <v>2.0579999999999998</v>
      </c>
      <c r="K189">
        <v>3.2559999999999998</v>
      </c>
      <c r="L189">
        <v>3.1880000000000002</v>
      </c>
      <c r="M189">
        <v>1.2310000000000001</v>
      </c>
      <c r="N189">
        <v>1.202</v>
      </c>
      <c r="O189">
        <v>1.504</v>
      </c>
      <c r="P189">
        <v>5.2549999999999999</v>
      </c>
      <c r="Q189">
        <v>0</v>
      </c>
      <c r="R189">
        <v>9985</v>
      </c>
      <c r="S189">
        <v>6.2210000000000001</v>
      </c>
      <c r="T189">
        <v>4.47</v>
      </c>
      <c r="U189">
        <v>3.46</v>
      </c>
      <c r="V189">
        <v>45.9</v>
      </c>
      <c r="W189" t="s">
        <v>54</v>
      </c>
      <c r="X189" t="s">
        <v>55</v>
      </c>
      <c r="Y189" t="s">
        <v>59</v>
      </c>
      <c r="Z189">
        <v>0.30199999999999999</v>
      </c>
      <c r="AA189">
        <v>0.59</v>
      </c>
      <c r="AB189">
        <v>124</v>
      </c>
      <c r="AC189">
        <v>2.74</v>
      </c>
      <c r="AE189">
        <v>-78.524299999999997</v>
      </c>
      <c r="AF189">
        <v>-0.22949800000000001</v>
      </c>
      <c r="AG189" t="s">
        <v>57</v>
      </c>
      <c r="AH189" t="s">
        <v>58</v>
      </c>
      <c r="AI189">
        <v>5654.9279999999999</v>
      </c>
      <c r="AJ189">
        <v>7.8681409999999996</v>
      </c>
      <c r="AK189">
        <v>86200000000</v>
      </c>
      <c r="AL189">
        <v>27.49061</v>
      </c>
      <c r="AN189">
        <v>-0.50473389999999996</v>
      </c>
      <c r="AO189">
        <v>58.055579999999999</v>
      </c>
      <c r="AP189">
        <v>64.49024</v>
      </c>
      <c r="AQ189">
        <v>0.81497419999999998</v>
      </c>
      <c r="AR189">
        <v>12.729050000000001</v>
      </c>
      <c r="AS189">
        <v>4.3428420000000001</v>
      </c>
      <c r="AT189">
        <v>1.4973879999999999</v>
      </c>
      <c r="AU189">
        <v>2.262016</v>
      </c>
      <c r="AV189">
        <v>1.4973879999999999</v>
      </c>
      <c r="AW189">
        <v>25.179970000000001</v>
      </c>
      <c r="AX189">
        <v>0.91999980000000003</v>
      </c>
      <c r="AY189">
        <v>3.8176909639510899</v>
      </c>
      <c r="AZ189" s="1">
        <v>0.36149999499321001</v>
      </c>
      <c r="BA189" s="1">
        <v>0.17550000548362699</v>
      </c>
      <c r="BB189" s="1">
        <v>0.53700000047683705</v>
      </c>
      <c r="BC189" s="1">
        <v>3.6855226000000001</v>
      </c>
      <c r="BD189" s="2">
        <v>64.490238892999002</v>
      </c>
      <c r="BE189" s="2">
        <f t="shared" si="4"/>
        <v>4.1870001795870024</v>
      </c>
      <c r="BF189" s="2">
        <f t="shared" si="5"/>
        <v>6.943242633261379</v>
      </c>
      <c r="BG189">
        <v>25739</v>
      </c>
      <c r="BH189" s="3">
        <v>4050</v>
      </c>
      <c r="BI189">
        <v>18.673060076536494</v>
      </c>
      <c r="BJ189" s="3">
        <v>12093</v>
      </c>
      <c r="BK189">
        <v>1317</v>
      </c>
      <c r="BL189">
        <v>12.221603563474387</v>
      </c>
      <c r="BM189" s="3">
        <v>646.07730000000004</v>
      </c>
      <c r="BN189">
        <v>480.21100000000001</v>
      </c>
      <c r="BO189">
        <v>289.51691814431263</v>
      </c>
      <c r="BP189">
        <v>22545672234.896702</v>
      </c>
      <c r="BQ189">
        <v>2826586334.9004021</v>
      </c>
      <c r="BR189">
        <v>14.334266553912281</v>
      </c>
      <c r="BS189">
        <v>0.47060299999999999</v>
      </c>
      <c r="BT189">
        <v>4.3281510000000001</v>
      </c>
      <c r="BU189">
        <v>6.2210165128393697</v>
      </c>
    </row>
    <row r="190" spans="1:73" x14ac:dyDescent="0.2">
      <c r="A190">
        <v>189</v>
      </c>
      <c r="B190" t="s">
        <v>75</v>
      </c>
      <c r="C190">
        <v>2012</v>
      </c>
      <c r="D190">
        <v>7</v>
      </c>
      <c r="E190">
        <v>0</v>
      </c>
      <c r="F190" t="s">
        <v>76</v>
      </c>
      <c r="G190">
        <v>0.47094000000000003</v>
      </c>
      <c r="H190">
        <v>0</v>
      </c>
      <c r="I190">
        <v>2.1459999999999999</v>
      </c>
      <c r="J190">
        <v>2.0579999999999998</v>
      </c>
      <c r="K190">
        <v>3.2559999999999998</v>
      </c>
      <c r="L190">
        <v>3.1880000000000002</v>
      </c>
      <c r="M190">
        <v>1.2310000000000001</v>
      </c>
      <c r="N190">
        <v>1.202</v>
      </c>
      <c r="O190">
        <v>1.504</v>
      </c>
      <c r="P190">
        <v>5.2549999999999999</v>
      </c>
      <c r="Q190">
        <v>0</v>
      </c>
      <c r="R190">
        <v>10398</v>
      </c>
      <c r="S190">
        <v>4.07</v>
      </c>
      <c r="T190">
        <v>5.0999999999999996</v>
      </c>
      <c r="U190">
        <v>3.23</v>
      </c>
      <c r="V190">
        <v>46.1</v>
      </c>
      <c r="W190" t="s">
        <v>54</v>
      </c>
      <c r="X190" t="s">
        <v>55</v>
      </c>
      <c r="Y190" t="s">
        <v>59</v>
      </c>
      <c r="Z190">
        <v>0.3</v>
      </c>
      <c r="AA190">
        <v>0.59899999999999998</v>
      </c>
      <c r="AB190">
        <v>124</v>
      </c>
      <c r="AC190">
        <v>2.74</v>
      </c>
      <c r="AE190">
        <v>-78.524299999999997</v>
      </c>
      <c r="AF190">
        <v>-0.22949800000000001</v>
      </c>
      <c r="AG190" t="s">
        <v>57</v>
      </c>
      <c r="AH190" t="s">
        <v>58</v>
      </c>
      <c r="AI190">
        <v>5885.1</v>
      </c>
      <c r="AJ190">
        <v>5.6419620000000004</v>
      </c>
      <c r="AK190">
        <v>91100000000</v>
      </c>
      <c r="AL190">
        <v>28.38307</v>
      </c>
      <c r="AN190">
        <v>-0.1665498</v>
      </c>
      <c r="AO190">
        <v>57.286230000000003</v>
      </c>
      <c r="AP190">
        <v>61.751109999999997</v>
      </c>
      <c r="AQ190">
        <v>0.64534570000000002</v>
      </c>
      <c r="AR190">
        <v>13.337289999999999</v>
      </c>
      <c r="AS190">
        <v>2.2261790000000001</v>
      </c>
      <c r="AT190">
        <v>1.6292409999999999</v>
      </c>
      <c r="AU190">
        <v>2.262016</v>
      </c>
      <c r="AV190">
        <v>1.6292409999999999</v>
      </c>
      <c r="AW190">
        <v>25.234860000000001</v>
      </c>
      <c r="AX190">
        <v>0.63000009999999995</v>
      </c>
      <c r="AY190">
        <v>3.8176909639510899</v>
      </c>
      <c r="AZ190" s="1">
        <v>0.36149999499321001</v>
      </c>
      <c r="BA190" s="1">
        <v>0.17550000548362699</v>
      </c>
      <c r="BB190" s="1">
        <v>0.53700000047683705</v>
      </c>
      <c r="BC190" s="1">
        <v>3.6855226000000001</v>
      </c>
      <c r="BD190" s="2">
        <v>61.751112408384998</v>
      </c>
      <c r="BE190" s="2">
        <f t="shared" si="4"/>
        <v>2.7391264846140047</v>
      </c>
      <c r="BF190" s="2">
        <f t="shared" si="5"/>
        <v>4.2473505008389134</v>
      </c>
      <c r="BG190">
        <v>30223</v>
      </c>
      <c r="BH190" s="3">
        <v>4484</v>
      </c>
      <c r="BI190">
        <v>17.421034228213994</v>
      </c>
      <c r="BJ190" s="3">
        <v>14596</v>
      </c>
      <c r="BK190">
        <v>2503</v>
      </c>
      <c r="BL190">
        <v>20.697924419085421</v>
      </c>
      <c r="BM190" s="3">
        <v>567.41030000000001</v>
      </c>
      <c r="BN190">
        <v>78.66700000000003</v>
      </c>
      <c r="BO190">
        <v>12.176097194561706</v>
      </c>
      <c r="BP190">
        <v>24926104578.489899</v>
      </c>
      <c r="BQ190">
        <v>2380432343.5931969</v>
      </c>
      <c r="BR190">
        <v>10.558267319741791</v>
      </c>
      <c r="BS190">
        <v>0.60824109999999998</v>
      </c>
      <c r="BT190">
        <v>2.1507299999999998</v>
      </c>
      <c r="BU190">
        <v>4.0702868011455804</v>
      </c>
    </row>
    <row r="191" spans="1:73" x14ac:dyDescent="0.2">
      <c r="A191">
        <v>190</v>
      </c>
      <c r="B191" t="s">
        <v>75</v>
      </c>
      <c r="C191">
        <v>2013</v>
      </c>
      <c r="D191">
        <v>7</v>
      </c>
      <c r="E191">
        <v>1</v>
      </c>
      <c r="F191" t="s">
        <v>76</v>
      </c>
      <c r="G191">
        <v>0.54913999999999996</v>
      </c>
      <c r="H191">
        <v>0</v>
      </c>
      <c r="I191">
        <v>2.6230000000000002</v>
      </c>
      <c r="J191">
        <v>2.0710000000000002</v>
      </c>
      <c r="K191">
        <v>3.5990000000000002</v>
      </c>
      <c r="L191">
        <v>3.198</v>
      </c>
      <c r="M191">
        <v>1.3360000000000001</v>
      </c>
      <c r="N191">
        <v>1.081</v>
      </c>
      <c r="O191">
        <v>1.504</v>
      </c>
      <c r="P191">
        <v>3.4060000000000001</v>
      </c>
      <c r="Q191">
        <v>1</v>
      </c>
      <c r="R191">
        <v>10760</v>
      </c>
      <c r="S191">
        <v>3.387</v>
      </c>
      <c r="T191">
        <v>2.72</v>
      </c>
      <c r="U191">
        <v>3.08</v>
      </c>
      <c r="V191">
        <v>46.9</v>
      </c>
      <c r="W191" t="s">
        <v>54</v>
      </c>
      <c r="X191" t="s">
        <v>55</v>
      </c>
      <c r="Y191" t="s">
        <v>59</v>
      </c>
      <c r="Z191">
        <v>0.27300000000000002</v>
      </c>
      <c r="AA191">
        <v>0.56299999999999994</v>
      </c>
      <c r="AB191">
        <v>137</v>
      </c>
      <c r="AC191">
        <v>2.74</v>
      </c>
      <c r="AE191">
        <v>-78.524299999999997</v>
      </c>
      <c r="AF191">
        <v>-0.22949800000000001</v>
      </c>
      <c r="AG191" t="s">
        <v>57</v>
      </c>
      <c r="AH191" t="s">
        <v>58</v>
      </c>
      <c r="AI191">
        <v>6084.4440000000004</v>
      </c>
      <c r="AJ191">
        <v>4.9465110000000001</v>
      </c>
      <c r="AK191">
        <v>95600000000</v>
      </c>
      <c r="AL191">
        <v>28.984639999999999</v>
      </c>
      <c r="AN191">
        <v>-0.98066779999999998</v>
      </c>
      <c r="AO191">
        <v>56.549869999999999</v>
      </c>
      <c r="AP191">
        <v>59.606160000000003</v>
      </c>
      <c r="AQ191">
        <v>0.76430549999999997</v>
      </c>
      <c r="AR191">
        <v>14.00539</v>
      </c>
      <c r="AS191">
        <v>0.69545080000000004</v>
      </c>
      <c r="AT191">
        <v>1.000632</v>
      </c>
      <c r="AU191">
        <v>2.262016</v>
      </c>
      <c r="AV191">
        <v>1.000632</v>
      </c>
      <c r="AW191">
        <v>25.28314</v>
      </c>
      <c r="AX191">
        <v>2.38</v>
      </c>
      <c r="AY191">
        <v>3.8176909639510899</v>
      </c>
      <c r="AZ191" s="1">
        <v>0.217000007629395</v>
      </c>
      <c r="BA191" s="1">
        <v>0.13099999725818601</v>
      </c>
      <c r="BB191" s="1">
        <v>0.34799998998642001</v>
      </c>
      <c r="BC191" s="1">
        <v>1.8334474999999999</v>
      </c>
      <c r="BD191" s="2">
        <v>59.606156056966</v>
      </c>
      <c r="BE191" s="2">
        <f t="shared" si="4"/>
        <v>2.1449563514189975</v>
      </c>
      <c r="BF191" s="2">
        <f t="shared" si="5"/>
        <v>3.4735509495497614</v>
      </c>
      <c r="BG191">
        <v>34192</v>
      </c>
      <c r="BH191" s="3">
        <v>3969</v>
      </c>
      <c r="BI191">
        <v>13.132382622506038</v>
      </c>
      <c r="BJ191" s="3">
        <v>16272</v>
      </c>
      <c r="BK191">
        <v>1676</v>
      </c>
      <c r="BL191">
        <v>11.482597972047136</v>
      </c>
      <c r="BM191" s="3">
        <v>727.06420000000003</v>
      </c>
      <c r="BN191">
        <v>159.65390000000002</v>
      </c>
      <c r="BO191">
        <v>28.137293242649989</v>
      </c>
      <c r="BP191">
        <v>27521931872.083599</v>
      </c>
      <c r="BQ191">
        <v>2595827293.5937004</v>
      </c>
      <c r="BR191">
        <v>10.41409132108746</v>
      </c>
      <c r="BS191">
        <v>0.66809750000000001</v>
      </c>
      <c r="BT191">
        <v>0.68301959999999995</v>
      </c>
      <c r="BU191">
        <v>3.3872670065212098</v>
      </c>
    </row>
    <row r="192" spans="1:73" x14ac:dyDescent="0.2">
      <c r="A192">
        <v>191</v>
      </c>
      <c r="B192" t="s">
        <v>75</v>
      </c>
      <c r="C192">
        <v>2014</v>
      </c>
      <c r="D192">
        <v>7</v>
      </c>
      <c r="E192">
        <v>0</v>
      </c>
      <c r="F192" t="s">
        <v>76</v>
      </c>
      <c r="G192">
        <v>0.52781</v>
      </c>
      <c r="H192">
        <v>0</v>
      </c>
      <c r="I192">
        <v>2.6230000000000002</v>
      </c>
      <c r="J192">
        <v>2.0710000000000002</v>
      </c>
      <c r="K192">
        <v>3.5990000000000002</v>
      </c>
      <c r="L192">
        <v>3.198</v>
      </c>
      <c r="M192">
        <v>1.3360000000000001</v>
      </c>
      <c r="N192">
        <v>1.081</v>
      </c>
      <c r="O192">
        <v>1.504</v>
      </c>
      <c r="P192">
        <v>3.4060000000000001</v>
      </c>
      <c r="Q192">
        <v>0</v>
      </c>
      <c r="R192">
        <v>11036</v>
      </c>
      <c r="S192">
        <v>2.1989999999999998</v>
      </c>
      <c r="T192">
        <v>3.59</v>
      </c>
      <c r="U192">
        <v>3.48</v>
      </c>
      <c r="V192">
        <v>45</v>
      </c>
      <c r="W192" t="s">
        <v>54</v>
      </c>
      <c r="X192" t="s">
        <v>55</v>
      </c>
      <c r="Y192" t="s">
        <v>59</v>
      </c>
      <c r="Z192">
        <v>0.26700000000000002</v>
      </c>
      <c r="AA192">
        <v>0.56399999999999995</v>
      </c>
      <c r="AB192">
        <v>137</v>
      </c>
      <c r="AC192">
        <v>2.74</v>
      </c>
      <c r="AE192">
        <v>-78.524299999999997</v>
      </c>
      <c r="AF192">
        <v>-0.22949800000000001</v>
      </c>
      <c r="AG192" t="s">
        <v>57</v>
      </c>
      <c r="AH192" t="s">
        <v>58</v>
      </c>
      <c r="AI192">
        <v>6218.2389999999996</v>
      </c>
      <c r="AJ192">
        <v>3.788869</v>
      </c>
      <c r="AK192">
        <v>99200000000</v>
      </c>
      <c r="AL192">
        <v>29.493110000000001</v>
      </c>
      <c r="AN192">
        <v>-0.65739329999999996</v>
      </c>
      <c r="AO192">
        <v>55.916840000000001</v>
      </c>
      <c r="AP192">
        <v>57.708170000000003</v>
      </c>
      <c r="AQ192">
        <v>0.75928220000000002</v>
      </c>
      <c r="AR192">
        <v>14.29616</v>
      </c>
      <c r="AS192">
        <v>1.157643</v>
      </c>
      <c r="AT192">
        <v>1.278152</v>
      </c>
      <c r="AU192">
        <v>2.262016</v>
      </c>
      <c r="AV192">
        <v>1.278152</v>
      </c>
      <c r="AW192">
        <v>25.320329999999998</v>
      </c>
      <c r="AX192">
        <v>0.86999990000000005</v>
      </c>
      <c r="AY192">
        <v>3.8176909639510899</v>
      </c>
      <c r="AZ192" s="1">
        <v>0.217000007629395</v>
      </c>
      <c r="BA192" s="1">
        <v>0.13099999725818601</v>
      </c>
      <c r="BB192" s="1">
        <v>0.34799998998642001</v>
      </c>
      <c r="BC192" s="1">
        <v>1.8334474999999999</v>
      </c>
      <c r="BD192" s="2">
        <v>57.708168989207003</v>
      </c>
      <c r="BE192" s="2">
        <f t="shared" si="4"/>
        <v>1.8979870677589972</v>
      </c>
      <c r="BF192" s="2">
        <f t="shared" si="5"/>
        <v>3.1842131640649303</v>
      </c>
      <c r="BG192">
        <v>39004</v>
      </c>
      <c r="BH192" s="3">
        <v>4812</v>
      </c>
      <c r="BI192">
        <v>14.073467477772578</v>
      </c>
      <c r="BJ192" s="3">
        <v>18695</v>
      </c>
      <c r="BK192">
        <v>2423</v>
      </c>
      <c r="BL192">
        <v>14.890609636184857</v>
      </c>
      <c r="BM192" s="3">
        <v>776.6019</v>
      </c>
      <c r="BN192">
        <v>49.537699999999973</v>
      </c>
      <c r="BO192">
        <v>6.8133873184788865</v>
      </c>
      <c r="BP192">
        <v>28144842420.512501</v>
      </c>
      <c r="BQ192">
        <v>622910548.42890167</v>
      </c>
      <c r="BR192">
        <v>2.2633242147537627</v>
      </c>
      <c r="BS192">
        <v>0.29076770000000002</v>
      </c>
      <c r="BT192">
        <v>1.188294</v>
      </c>
      <c r="BU192">
        <v>2.1989731610287002</v>
      </c>
    </row>
    <row r="193" spans="1:73" x14ac:dyDescent="0.2">
      <c r="A193">
        <v>192</v>
      </c>
      <c r="B193" t="s">
        <v>75</v>
      </c>
      <c r="C193">
        <v>2015</v>
      </c>
      <c r="D193">
        <v>7</v>
      </c>
      <c r="E193">
        <v>0</v>
      </c>
      <c r="F193" t="s">
        <v>76</v>
      </c>
      <c r="G193">
        <v>0.50649</v>
      </c>
      <c r="H193">
        <v>0</v>
      </c>
      <c r="I193">
        <v>2.6230000000000002</v>
      </c>
      <c r="J193">
        <v>2.0710000000000002</v>
      </c>
      <c r="K193">
        <v>3.5990000000000002</v>
      </c>
      <c r="L193">
        <v>3.198</v>
      </c>
      <c r="M193">
        <v>1.3360000000000001</v>
      </c>
      <c r="N193">
        <v>1.081</v>
      </c>
      <c r="O193">
        <v>1.504</v>
      </c>
      <c r="P193">
        <v>4.1440000000000001</v>
      </c>
      <c r="Q193">
        <v>0</v>
      </c>
      <c r="R193">
        <v>10905</v>
      </c>
      <c r="S193">
        <v>-1.508</v>
      </c>
      <c r="T193">
        <v>3.97</v>
      </c>
      <c r="U193">
        <v>3.62</v>
      </c>
      <c r="V193">
        <v>46</v>
      </c>
      <c r="W193" t="s">
        <v>54</v>
      </c>
      <c r="X193" t="s">
        <v>55</v>
      </c>
      <c r="Y193" t="s">
        <v>59</v>
      </c>
      <c r="Z193">
        <v>0.26800000000000002</v>
      </c>
      <c r="AA193">
        <v>0.55600000000000005</v>
      </c>
      <c r="AB193">
        <v>137</v>
      </c>
      <c r="AC193">
        <v>2.74</v>
      </c>
      <c r="AE193">
        <v>-78.524299999999997</v>
      </c>
      <c r="AF193">
        <v>-0.22949800000000001</v>
      </c>
      <c r="AG193" t="s">
        <v>57</v>
      </c>
      <c r="AH193" t="s">
        <v>58</v>
      </c>
      <c r="AI193">
        <v>6124.491</v>
      </c>
      <c r="AJ193">
        <v>9.8872600000000005E-2</v>
      </c>
      <c r="AK193">
        <v>99300000000</v>
      </c>
      <c r="AL193">
        <v>29.308890000000002</v>
      </c>
      <c r="AN193">
        <v>-2.236961</v>
      </c>
      <c r="AO193">
        <v>55.42736</v>
      </c>
      <c r="AP193">
        <v>45.243879999999997</v>
      </c>
      <c r="AQ193">
        <v>1.332155</v>
      </c>
      <c r="AR193">
        <v>14.42952</v>
      </c>
      <c r="AS193">
        <v>3.6899959999999998</v>
      </c>
      <c r="AT193">
        <v>1.3787659999999999</v>
      </c>
      <c r="AU193">
        <v>2.262016</v>
      </c>
      <c r="AV193">
        <v>1.3787659999999999</v>
      </c>
      <c r="AW193">
        <v>25.32131</v>
      </c>
      <c r="AX193">
        <v>0.38000010000000001</v>
      </c>
      <c r="AY193">
        <v>3.8176909639510899</v>
      </c>
      <c r="AZ193" s="1">
        <v>0.217000007629395</v>
      </c>
      <c r="BA193" s="1">
        <v>0.13099999725818601</v>
      </c>
      <c r="BB193" s="1">
        <v>0.34799998998642001</v>
      </c>
      <c r="BC193" s="1">
        <v>1.8334474999999999</v>
      </c>
      <c r="BD193" s="2">
        <v>45.243877148583003</v>
      </c>
      <c r="BE193" s="2">
        <f t="shared" si="4"/>
        <v>12.464291840624</v>
      </c>
      <c r="BF193" s="2">
        <f t="shared" si="5"/>
        <v>21.598834374653546</v>
      </c>
      <c r="BG193">
        <v>38154</v>
      </c>
      <c r="BH193" s="3">
        <v>850</v>
      </c>
      <c r="BI193">
        <v>2.179263665265101</v>
      </c>
      <c r="BJ193" s="3">
        <v>19041</v>
      </c>
      <c r="BK193">
        <v>346</v>
      </c>
      <c r="BL193">
        <v>1.8507622358919498</v>
      </c>
      <c r="BM193" s="3">
        <v>1331.2602999999999</v>
      </c>
      <c r="BN193">
        <v>554.65839999999992</v>
      </c>
      <c r="BO193">
        <v>71.421200488950632</v>
      </c>
      <c r="BP193">
        <v>26390456000</v>
      </c>
      <c r="BQ193">
        <v>1754386420.5125008</v>
      </c>
      <c r="BR193">
        <v>6.2334206541297608</v>
      </c>
      <c r="BS193">
        <v>0.1333666</v>
      </c>
      <c r="BT193">
        <v>3.706607</v>
      </c>
      <c r="BU193">
        <v>-1.50763431990521</v>
      </c>
    </row>
    <row r="194" spans="1:73" x14ac:dyDescent="0.2">
      <c r="A194">
        <v>193</v>
      </c>
      <c r="B194" t="s">
        <v>75</v>
      </c>
      <c r="C194">
        <v>2016</v>
      </c>
      <c r="D194">
        <v>7</v>
      </c>
      <c r="E194">
        <v>0</v>
      </c>
      <c r="F194" t="s">
        <v>76</v>
      </c>
      <c r="G194">
        <v>0.48515999999999998</v>
      </c>
      <c r="H194">
        <v>0</v>
      </c>
      <c r="I194">
        <v>2.6230000000000002</v>
      </c>
      <c r="J194">
        <v>2.0710000000000002</v>
      </c>
      <c r="K194">
        <v>3.5990000000000002</v>
      </c>
      <c r="L194">
        <v>3.198</v>
      </c>
      <c r="M194">
        <v>1.3360000000000001</v>
      </c>
      <c r="N194">
        <v>1.081</v>
      </c>
      <c r="O194">
        <v>1.504</v>
      </c>
      <c r="P194">
        <v>4.3949999999999996</v>
      </c>
      <c r="Q194">
        <v>0</v>
      </c>
      <c r="R194">
        <v>10527</v>
      </c>
      <c r="S194">
        <v>-2.8980000000000001</v>
      </c>
      <c r="T194">
        <v>1.73</v>
      </c>
      <c r="U194">
        <v>4.5999999999999996</v>
      </c>
      <c r="V194">
        <v>45</v>
      </c>
      <c r="W194" t="s">
        <v>54</v>
      </c>
      <c r="X194" t="s">
        <v>55</v>
      </c>
      <c r="Y194" t="s">
        <v>59</v>
      </c>
      <c r="Z194">
        <v>0.27200000000000002</v>
      </c>
      <c r="AA194">
        <v>0.56899999999999995</v>
      </c>
      <c r="AB194">
        <v>137</v>
      </c>
      <c r="AC194">
        <v>2.74</v>
      </c>
      <c r="AE194">
        <v>-78.524299999999997</v>
      </c>
      <c r="AF194">
        <v>-0.22949800000000001</v>
      </c>
      <c r="AG194" t="s">
        <v>57</v>
      </c>
      <c r="AH194" t="s">
        <v>58</v>
      </c>
      <c r="AI194">
        <v>5947.0020000000004</v>
      </c>
      <c r="AJ194">
        <v>-1.2263839999999999</v>
      </c>
      <c r="AK194">
        <v>98100000000</v>
      </c>
      <c r="AL194">
        <v>30.790230000000001</v>
      </c>
      <c r="AN194">
        <v>1.1101650000000001</v>
      </c>
      <c r="AO194">
        <v>54.968429999999998</v>
      </c>
      <c r="AP194">
        <v>38.521340000000002</v>
      </c>
      <c r="AQ194">
        <v>0.76457719999999996</v>
      </c>
      <c r="AR194">
        <v>14.605689999999999</v>
      </c>
      <c r="AS194">
        <v>1.3252569999999999</v>
      </c>
      <c r="AT194">
        <v>0.54812139999999998</v>
      </c>
      <c r="AU194">
        <v>2.262016</v>
      </c>
      <c r="AV194">
        <v>0.54812139999999998</v>
      </c>
      <c r="AW194">
        <v>25.308979999999998</v>
      </c>
      <c r="AX194">
        <v>2.2400000000000002</v>
      </c>
      <c r="AY194">
        <v>3.8176909639510899</v>
      </c>
      <c r="AZ194" s="1">
        <v>0.217000007629395</v>
      </c>
      <c r="BA194" s="1">
        <v>0.13099999725818601</v>
      </c>
      <c r="BB194" s="1">
        <v>0.34799998998642001</v>
      </c>
      <c r="BC194" s="1">
        <v>1.8334474999999999</v>
      </c>
      <c r="BD194" s="2">
        <v>38.521340335883004</v>
      </c>
      <c r="BE194" s="2">
        <f t="shared" si="4"/>
        <v>6.7225368126999996</v>
      </c>
      <c r="BF194" s="2">
        <f t="shared" si="5"/>
        <v>14.858445465720976</v>
      </c>
      <c r="BG194">
        <v>44461</v>
      </c>
      <c r="BH194" s="3">
        <v>6307</v>
      </c>
      <c r="BI194">
        <v>16.530376893641559</v>
      </c>
      <c r="BJ194" s="3">
        <v>22635</v>
      </c>
      <c r="BK194">
        <v>3594</v>
      </c>
      <c r="BL194">
        <v>18.875059083031353</v>
      </c>
      <c r="BM194" s="3">
        <v>756.02779999999996</v>
      </c>
      <c r="BN194">
        <v>575.23249999999996</v>
      </c>
      <c r="BO194">
        <v>43.209618734968657</v>
      </c>
      <c r="BP194">
        <v>24051125018.289101</v>
      </c>
      <c r="BQ194">
        <v>2339330981.7108994</v>
      </c>
      <c r="BR194">
        <v>8.8643067846607089</v>
      </c>
      <c r="BS194">
        <v>0.1761713</v>
      </c>
      <c r="BT194">
        <v>1.390385</v>
      </c>
      <c r="BU194">
        <v>-2.89801879626653</v>
      </c>
    </row>
    <row r="195" spans="1:73" x14ac:dyDescent="0.2">
      <c r="A195">
        <v>194</v>
      </c>
      <c r="B195" t="s">
        <v>75</v>
      </c>
      <c r="C195">
        <v>2017</v>
      </c>
      <c r="D195">
        <v>7</v>
      </c>
      <c r="E195">
        <v>1</v>
      </c>
      <c r="F195" t="s">
        <v>76</v>
      </c>
      <c r="G195">
        <v>0.46383000000000002</v>
      </c>
      <c r="H195">
        <v>0</v>
      </c>
      <c r="I195">
        <v>3.4430000000000001</v>
      </c>
      <c r="J195">
        <v>3.81</v>
      </c>
      <c r="K195">
        <v>4.1230000000000002</v>
      </c>
      <c r="L195">
        <v>4.3380000000000001</v>
      </c>
      <c r="M195">
        <v>1.597</v>
      </c>
      <c r="N195">
        <v>1.8220000000000001</v>
      </c>
      <c r="O195">
        <v>1.504</v>
      </c>
      <c r="P195">
        <v>4.0540000000000003</v>
      </c>
      <c r="Q195">
        <v>1</v>
      </c>
      <c r="R195">
        <v>10637.3</v>
      </c>
      <c r="S195">
        <v>0.57399999999999995</v>
      </c>
      <c r="T195">
        <v>0.42</v>
      </c>
      <c r="U195">
        <v>3.84</v>
      </c>
      <c r="V195">
        <v>44.7</v>
      </c>
      <c r="W195" t="s">
        <v>54</v>
      </c>
      <c r="X195" t="s">
        <v>55</v>
      </c>
      <c r="Y195" t="s">
        <v>59</v>
      </c>
      <c r="Z195">
        <v>0.32500000000000001</v>
      </c>
      <c r="AA195">
        <v>0.58199999999999996</v>
      </c>
      <c r="AB195">
        <v>137</v>
      </c>
      <c r="AC195">
        <v>2.74</v>
      </c>
      <c r="AE195">
        <v>-78.524299999999997</v>
      </c>
      <c r="AF195">
        <v>-0.22949800000000001</v>
      </c>
      <c r="AG195" t="s">
        <v>57</v>
      </c>
      <c r="AH195" t="s">
        <v>58</v>
      </c>
      <c r="AI195">
        <v>5981.1329999999998</v>
      </c>
      <c r="AJ195">
        <v>2.3683869999999998</v>
      </c>
      <c r="AK195">
        <v>100000000000</v>
      </c>
      <c r="AL195">
        <v>34.277160000000002</v>
      </c>
      <c r="AN195">
        <v>-0.17591870000000001</v>
      </c>
      <c r="AO195">
        <v>54.589950000000002</v>
      </c>
      <c r="AP195">
        <v>42.421720000000001</v>
      </c>
      <c r="AQ195">
        <v>0.60361209999999998</v>
      </c>
      <c r="AR195">
        <v>14.571260000000001</v>
      </c>
      <c r="AS195">
        <v>3.59477</v>
      </c>
      <c r="AT195">
        <v>-0.86750059999999996</v>
      </c>
      <c r="AU195">
        <v>2.262016</v>
      </c>
      <c r="AV195">
        <v>-0.86750059999999996</v>
      </c>
      <c r="AW195">
        <v>25.332380000000001</v>
      </c>
      <c r="AX195">
        <v>1.31</v>
      </c>
      <c r="AY195">
        <v>3.8176909639510899</v>
      </c>
      <c r="AZ195" s="1" t="s">
        <v>101</v>
      </c>
      <c r="BA195" s="1" t="s">
        <v>101</v>
      </c>
      <c r="BB195" s="1" t="s">
        <v>101</v>
      </c>
      <c r="BC195" s="1" t="s">
        <v>101</v>
      </c>
      <c r="BD195" s="2">
        <v>42.421721391017002</v>
      </c>
      <c r="BE195" s="2">
        <f t="shared" si="4"/>
        <v>3.9003810551339981</v>
      </c>
      <c r="BF195" s="2">
        <f t="shared" si="5"/>
        <v>10.125247515078689</v>
      </c>
      <c r="BG195">
        <v>48920</v>
      </c>
      <c r="BH195" s="3">
        <v>4459</v>
      </c>
      <c r="BI195">
        <v>10.029014192213401</v>
      </c>
      <c r="BJ195" s="3">
        <v>24531</v>
      </c>
      <c r="BK195">
        <v>1896</v>
      </c>
      <c r="BL195">
        <v>8.3764082173624921</v>
      </c>
      <c r="BM195" s="3">
        <v>629.51239999999996</v>
      </c>
      <c r="BN195">
        <v>126.5154</v>
      </c>
      <c r="BO195">
        <v>16.734225910740321</v>
      </c>
      <c r="BP195">
        <v>25328234887.6367</v>
      </c>
      <c r="BQ195">
        <v>1277109869.347599</v>
      </c>
      <c r="BR195">
        <v>5.3099797551110459</v>
      </c>
      <c r="BS195">
        <v>3.4437200000000001E-2</v>
      </c>
      <c r="BT195">
        <v>3.4719319999999998</v>
      </c>
      <c r="BU195">
        <v>0.57391317399834896</v>
      </c>
    </row>
    <row r="196" spans="1:73" x14ac:dyDescent="0.2">
      <c r="A196">
        <v>195</v>
      </c>
      <c r="B196" t="s">
        <v>75</v>
      </c>
      <c r="C196">
        <v>2018</v>
      </c>
      <c r="D196">
        <v>7</v>
      </c>
      <c r="E196">
        <v>0</v>
      </c>
      <c r="F196" t="s">
        <v>76</v>
      </c>
      <c r="G196">
        <v>0.4425</v>
      </c>
      <c r="H196">
        <v>0</v>
      </c>
      <c r="I196">
        <v>3.4430000000000001</v>
      </c>
      <c r="J196">
        <v>3.81</v>
      </c>
      <c r="K196">
        <v>4.1230000000000002</v>
      </c>
      <c r="L196">
        <v>4.3380000000000001</v>
      </c>
      <c r="M196">
        <v>1.597</v>
      </c>
      <c r="N196">
        <v>1.8220000000000001</v>
      </c>
      <c r="O196">
        <v>1.504</v>
      </c>
      <c r="P196">
        <v>4.1760000000000002</v>
      </c>
      <c r="Q196">
        <v>0</v>
      </c>
      <c r="R196">
        <v>10638.8</v>
      </c>
      <c r="S196">
        <v>-0.48299999999999998</v>
      </c>
      <c r="T196">
        <v>-0.22</v>
      </c>
      <c r="U196">
        <v>3.53</v>
      </c>
      <c r="V196">
        <v>45.4</v>
      </c>
      <c r="W196" t="s">
        <v>54</v>
      </c>
      <c r="X196" t="s">
        <v>55</v>
      </c>
      <c r="Y196" t="s">
        <v>59</v>
      </c>
      <c r="Z196">
        <v>0.48</v>
      </c>
      <c r="AA196">
        <v>0.67400000000000004</v>
      </c>
      <c r="AB196">
        <v>137</v>
      </c>
      <c r="AC196">
        <v>2.74</v>
      </c>
      <c r="AE196">
        <v>-78.524299999999997</v>
      </c>
      <c r="AF196">
        <v>-0.22949800000000001</v>
      </c>
      <c r="AG196" t="s">
        <v>57</v>
      </c>
      <c r="AH196" t="s">
        <v>58</v>
      </c>
      <c r="AI196">
        <v>5952.2179999999998</v>
      </c>
      <c r="AJ196">
        <v>1.2892920000000001</v>
      </c>
      <c r="AK196">
        <v>102000000000</v>
      </c>
      <c r="AL196">
        <v>38.307899999999997</v>
      </c>
      <c r="AN196">
        <v>-1.216129</v>
      </c>
      <c r="AO196">
        <v>54.287370000000003</v>
      </c>
      <c r="AP196">
        <v>46.362130000000001</v>
      </c>
      <c r="AQ196">
        <v>1.291066</v>
      </c>
      <c r="AR196">
        <v>14.71636</v>
      </c>
      <c r="AS196">
        <v>1.0790949999999999</v>
      </c>
      <c r="AU196">
        <v>2.262016</v>
      </c>
      <c r="AW196">
        <v>25.345189999999999</v>
      </c>
      <c r="AX196">
        <v>0.64</v>
      </c>
      <c r="AY196">
        <v>3.8176909639510899</v>
      </c>
      <c r="AZ196" s="1" t="s">
        <v>101</v>
      </c>
      <c r="BA196" s="1" t="s">
        <v>101</v>
      </c>
      <c r="BB196" s="1" t="s">
        <v>101</v>
      </c>
      <c r="BC196" s="1" t="s">
        <v>101</v>
      </c>
      <c r="BD196" s="2">
        <v>46.362130948690002</v>
      </c>
      <c r="BE196" s="2">
        <f t="shared" ref="BE196:BE259" si="6">ABS(BD196-BD195)</f>
        <v>3.9404095576730001</v>
      </c>
      <c r="BF196" s="2">
        <f t="shared" ref="BF196:BF259" si="7">100*ABS(BD196-BD195)/BD195</f>
        <v>9.2886602157247697</v>
      </c>
      <c r="BG196">
        <v>51805</v>
      </c>
      <c r="BH196" s="3">
        <v>2885</v>
      </c>
      <c r="BI196">
        <v>5.8973834832379399</v>
      </c>
      <c r="BJ196" s="3">
        <v>25260</v>
      </c>
      <c r="BK196">
        <v>729</v>
      </c>
      <c r="BL196">
        <v>2.9717500305735598</v>
      </c>
      <c r="BM196" s="3">
        <v>1388.4567</v>
      </c>
      <c r="BN196">
        <v>758.9443</v>
      </c>
      <c r="BO196">
        <v>120.5606593293476</v>
      </c>
      <c r="BP196">
        <v>25827942589.0219</v>
      </c>
      <c r="BQ196">
        <v>499707701.3852005</v>
      </c>
      <c r="BR196">
        <v>1.9729274606068954</v>
      </c>
      <c r="BS196">
        <v>0.14510149999999999</v>
      </c>
      <c r="BT196">
        <v>1.057342</v>
      </c>
      <c r="BU196">
        <v>-0.48342907792216699</v>
      </c>
    </row>
    <row r="197" spans="1:73" x14ac:dyDescent="0.2">
      <c r="A197">
        <v>196</v>
      </c>
      <c r="B197" t="s">
        <v>75</v>
      </c>
      <c r="C197">
        <v>2019</v>
      </c>
      <c r="D197">
        <v>7</v>
      </c>
      <c r="E197">
        <v>0</v>
      </c>
      <c r="F197" t="s">
        <v>76</v>
      </c>
      <c r="G197">
        <v>0.42118</v>
      </c>
      <c r="H197">
        <v>0</v>
      </c>
      <c r="I197">
        <v>3.4430000000000001</v>
      </c>
      <c r="J197">
        <v>3.81</v>
      </c>
      <c r="K197">
        <v>4.1230000000000002</v>
      </c>
      <c r="L197">
        <v>4.3380000000000001</v>
      </c>
      <c r="M197">
        <v>1.597</v>
      </c>
      <c r="N197">
        <v>1.8220000000000001</v>
      </c>
      <c r="O197">
        <v>1.504</v>
      </c>
      <c r="P197">
        <v>4.1760000000000002</v>
      </c>
      <c r="Q197">
        <v>0</v>
      </c>
      <c r="S197">
        <v>-1.6120000000000001</v>
      </c>
      <c r="T197">
        <v>0.27</v>
      </c>
      <c r="U197">
        <v>3.81</v>
      </c>
      <c r="V197">
        <v>45.7</v>
      </c>
      <c r="W197" t="s">
        <v>54</v>
      </c>
      <c r="X197" t="s">
        <v>55</v>
      </c>
      <c r="Y197" t="s">
        <v>59</v>
      </c>
      <c r="Z197">
        <v>0.47899999999999998</v>
      </c>
      <c r="AA197">
        <v>0.64900000000000002</v>
      </c>
      <c r="AB197">
        <v>137</v>
      </c>
      <c r="AC197">
        <v>2.74</v>
      </c>
      <c r="AE197">
        <v>-78.524299999999997</v>
      </c>
      <c r="AF197">
        <v>-0.22949800000000001</v>
      </c>
      <c r="AG197" t="s">
        <v>57</v>
      </c>
      <c r="AH197" t="s">
        <v>58</v>
      </c>
      <c r="AI197">
        <v>5853.8130000000001</v>
      </c>
      <c r="AJ197">
        <v>1.2105100000000001E-2</v>
      </c>
      <c r="AK197">
        <v>102000000000</v>
      </c>
      <c r="AL197">
        <v>42.489319999999999</v>
      </c>
      <c r="AN197">
        <v>-5.7039399999999997E-2</v>
      </c>
      <c r="AO197">
        <v>54.033769999999997</v>
      </c>
      <c r="AP197">
        <v>46.076819999999998</v>
      </c>
      <c r="AQ197">
        <v>0.90142949999999999</v>
      </c>
      <c r="AR197">
        <v>14.41474</v>
      </c>
      <c r="AS197">
        <v>1.2771870000000001</v>
      </c>
      <c r="AT197">
        <v>-1.3093330000000001</v>
      </c>
      <c r="AU197">
        <v>2.262016</v>
      </c>
      <c r="AV197">
        <v>-1.3093330000000001</v>
      </c>
      <c r="AW197">
        <v>25.345310000000001</v>
      </c>
      <c r="AX197">
        <v>0.49</v>
      </c>
      <c r="AY197">
        <v>3.8176909639510899</v>
      </c>
      <c r="AZ197" s="1" t="s">
        <v>101</v>
      </c>
      <c r="BA197" s="1" t="s">
        <v>101</v>
      </c>
      <c r="BB197" s="1" t="s">
        <v>101</v>
      </c>
      <c r="BC197" s="1" t="s">
        <v>101</v>
      </c>
      <c r="BD197" s="2">
        <v>46.076821190925997</v>
      </c>
      <c r="BE197" s="2">
        <f t="shared" si="6"/>
        <v>0.28530975776400425</v>
      </c>
      <c r="BF197" s="2">
        <f t="shared" si="7"/>
        <v>0.61539396901269028</v>
      </c>
      <c r="BG197">
        <v>56023</v>
      </c>
      <c r="BH197" s="3">
        <v>4218</v>
      </c>
      <c r="BI197">
        <v>8.1420712286458841</v>
      </c>
      <c r="BJ197" s="3">
        <v>26197</v>
      </c>
      <c r="BK197">
        <v>937</v>
      </c>
      <c r="BL197">
        <v>3.7094220110847189</v>
      </c>
      <c r="BM197" s="3">
        <v>974.51739999999995</v>
      </c>
      <c r="BN197">
        <v>413.9393</v>
      </c>
      <c r="BO197">
        <v>29.812906661043158</v>
      </c>
      <c r="BP197">
        <v>24975336760.132099</v>
      </c>
      <c r="BQ197">
        <v>852605828.88980103</v>
      </c>
      <c r="BR197">
        <v>3.3010985135618154</v>
      </c>
      <c r="BS197">
        <v>0.30161379999999999</v>
      </c>
      <c r="BT197">
        <v>1.169821</v>
      </c>
      <c r="BU197">
        <v>-1.6532496340418601</v>
      </c>
    </row>
    <row r="198" spans="1:73" x14ac:dyDescent="0.2">
      <c r="A198">
        <v>392</v>
      </c>
      <c r="B198" t="s">
        <v>77</v>
      </c>
      <c r="C198">
        <v>1992</v>
      </c>
      <c r="D198">
        <v>8</v>
      </c>
      <c r="E198">
        <v>0</v>
      </c>
      <c r="F198" t="s">
        <v>78</v>
      </c>
      <c r="G198">
        <v>0.34105999999999997</v>
      </c>
      <c r="H198">
        <v>1</v>
      </c>
      <c r="O198">
        <v>2.7810000000000001</v>
      </c>
      <c r="R198">
        <v>3750.5</v>
      </c>
      <c r="S198">
        <v>5.5529999999999999</v>
      </c>
      <c r="T198">
        <v>11.21</v>
      </c>
      <c r="U198">
        <v>7.88</v>
      </c>
      <c r="W198" t="s">
        <v>54</v>
      </c>
      <c r="X198" t="s">
        <v>55</v>
      </c>
      <c r="Y198" t="s">
        <v>59</v>
      </c>
      <c r="Z198">
        <v>0.14299999999999999</v>
      </c>
      <c r="AA198">
        <v>0.27200000000000002</v>
      </c>
      <c r="AB198">
        <v>84</v>
      </c>
      <c r="AC198">
        <v>8.1999999999999993</v>
      </c>
      <c r="AE198">
        <v>-89.207300000000004</v>
      </c>
      <c r="AF198">
        <v>13.7034</v>
      </c>
      <c r="AG198" t="s">
        <v>63</v>
      </c>
      <c r="AH198" t="s">
        <v>58</v>
      </c>
      <c r="AI198">
        <v>2542.9029999999998</v>
      </c>
      <c r="AJ198">
        <v>7.0219630000000004</v>
      </c>
      <c r="AK198">
        <v>13800000000</v>
      </c>
      <c r="AN198">
        <v>-1.874298</v>
      </c>
      <c r="AO198">
        <v>76.941820000000007</v>
      </c>
      <c r="AP198">
        <v>48.675249999999998</v>
      </c>
      <c r="AQ198">
        <v>0.26334809999999997</v>
      </c>
      <c r="AR198">
        <v>9.8298410000000001</v>
      </c>
      <c r="AT198">
        <v>2.4168059999999998</v>
      </c>
      <c r="AU198">
        <v>7.7339609999999999</v>
      </c>
      <c r="AV198">
        <v>2.4168059999999998</v>
      </c>
      <c r="AW198">
        <v>23.34599</v>
      </c>
      <c r="AY198">
        <v>4.8316658726377604</v>
      </c>
      <c r="AZ198" s="1">
        <v>0.123500004410744</v>
      </c>
      <c r="BA198" s="1">
        <v>6.25E-2</v>
      </c>
      <c r="BB198" s="1">
        <v>0.18600000441074399</v>
      </c>
      <c r="BC198" s="1">
        <v>3.0102389999999999</v>
      </c>
      <c r="BD198" s="2">
        <v>48.675245350021001</v>
      </c>
      <c r="BE198" s="2"/>
      <c r="BF198" s="2"/>
      <c r="BH198" s="3"/>
      <c r="BM198" s="3">
        <v>15.3095</v>
      </c>
      <c r="BN198">
        <v>9.8709999999999987</v>
      </c>
      <c r="BO198">
        <v>39.200969003792615</v>
      </c>
      <c r="BP198">
        <v>2330568822.0212302</v>
      </c>
      <c r="BQ198">
        <v>359781388.9469502</v>
      </c>
      <c r="BR198">
        <v>18.255717633926576</v>
      </c>
      <c r="BU198">
        <v>2.1224769061453799</v>
      </c>
    </row>
    <row r="199" spans="1:73" x14ac:dyDescent="0.2">
      <c r="A199">
        <v>393</v>
      </c>
      <c r="B199" t="s">
        <v>77</v>
      </c>
      <c r="C199">
        <v>1993</v>
      </c>
      <c r="D199">
        <v>8</v>
      </c>
      <c r="E199">
        <v>0</v>
      </c>
      <c r="F199" t="s">
        <v>78</v>
      </c>
      <c r="G199">
        <v>0.34105999999999997</v>
      </c>
      <c r="H199">
        <v>1</v>
      </c>
      <c r="O199">
        <v>1.042</v>
      </c>
      <c r="R199">
        <v>4053</v>
      </c>
      <c r="S199">
        <v>4.3899999999999997</v>
      </c>
      <c r="T199">
        <v>18.510000000000002</v>
      </c>
      <c r="U199">
        <v>9.94</v>
      </c>
      <c r="W199" t="s">
        <v>54</v>
      </c>
      <c r="X199" t="s">
        <v>55</v>
      </c>
      <c r="Y199" t="s">
        <v>59</v>
      </c>
      <c r="Z199">
        <v>0.20799999999999999</v>
      </c>
      <c r="AA199">
        <v>0.378</v>
      </c>
      <c r="AB199">
        <v>84</v>
      </c>
      <c r="AC199">
        <v>8.1999999999999993</v>
      </c>
      <c r="AE199">
        <v>-89.207300000000004</v>
      </c>
      <c r="AF199">
        <v>13.7034</v>
      </c>
      <c r="AG199" t="s">
        <v>63</v>
      </c>
      <c r="AH199" t="s">
        <v>58</v>
      </c>
      <c r="AI199">
        <v>2654.5160000000001</v>
      </c>
      <c r="AJ199">
        <v>5.8183160000000003</v>
      </c>
      <c r="AK199">
        <v>14600000000</v>
      </c>
      <c r="AN199">
        <v>-1.2247330000000001</v>
      </c>
      <c r="AO199">
        <v>75.858670000000004</v>
      </c>
      <c r="AP199">
        <v>53.527290000000001</v>
      </c>
      <c r="AQ199">
        <v>0.2459788</v>
      </c>
      <c r="AR199">
        <v>9.2649709999999992</v>
      </c>
      <c r="AS199">
        <v>1.2036480000000001</v>
      </c>
      <c r="AT199">
        <v>2.9183110000000001</v>
      </c>
      <c r="AU199">
        <v>1.085764</v>
      </c>
      <c r="AV199">
        <v>2.9183110000000001</v>
      </c>
      <c r="AW199">
        <v>23.402539999999998</v>
      </c>
      <c r="AX199">
        <v>7.3</v>
      </c>
      <c r="AY199">
        <v>3.45084961092584</v>
      </c>
      <c r="AZ199" s="1">
        <v>0.123500004410744</v>
      </c>
      <c r="BA199" s="1">
        <v>6.25E-2</v>
      </c>
      <c r="BB199" s="1">
        <v>0.18600000441074399</v>
      </c>
      <c r="BC199" s="1">
        <v>3.0102389999999999</v>
      </c>
      <c r="BD199" s="2">
        <v>53.527290793890003</v>
      </c>
      <c r="BE199" s="2">
        <f t="shared" si="6"/>
        <v>4.8520454438690024</v>
      </c>
      <c r="BF199" s="2">
        <f t="shared" si="7"/>
        <v>9.9681992540113793</v>
      </c>
      <c r="BH199" s="3"/>
      <c r="BM199" s="3">
        <v>16.431999999999999</v>
      </c>
      <c r="BN199">
        <v>1.1224999999999987</v>
      </c>
      <c r="BO199">
        <v>7.3320487279140316</v>
      </c>
      <c r="BP199">
        <v>2659760496.0184598</v>
      </c>
      <c r="BQ199">
        <v>329191673.99722958</v>
      </c>
      <c r="BR199">
        <v>14.124949706987492</v>
      </c>
      <c r="BS199">
        <v>0.56486990000000004</v>
      </c>
      <c r="BT199">
        <v>0.81261439999999996</v>
      </c>
      <c r="BU199">
        <v>1.3098623565804</v>
      </c>
    </row>
    <row r="200" spans="1:73" x14ac:dyDescent="0.2">
      <c r="A200">
        <v>394</v>
      </c>
      <c r="B200" t="s">
        <v>77</v>
      </c>
      <c r="C200">
        <v>1994</v>
      </c>
      <c r="D200">
        <v>8</v>
      </c>
      <c r="E200">
        <v>1</v>
      </c>
      <c r="F200" t="s">
        <v>78</v>
      </c>
      <c r="G200">
        <v>0.34105999999999997</v>
      </c>
      <c r="H200">
        <v>0</v>
      </c>
      <c r="I200">
        <v>2.3170000000000002</v>
      </c>
      <c r="J200">
        <v>2.5659999999999998</v>
      </c>
      <c r="K200">
        <v>3.3820000000000001</v>
      </c>
      <c r="L200">
        <v>3.56</v>
      </c>
      <c r="M200">
        <v>1.3180000000000001</v>
      </c>
      <c r="N200">
        <v>1.44</v>
      </c>
      <c r="O200">
        <v>1.042</v>
      </c>
      <c r="Q200">
        <v>1</v>
      </c>
      <c r="R200">
        <v>4316.3999999999996</v>
      </c>
      <c r="S200">
        <v>3.3450000000000002</v>
      </c>
      <c r="T200">
        <v>10.59</v>
      </c>
      <c r="U200">
        <v>7.68</v>
      </c>
      <c r="W200" t="s">
        <v>54</v>
      </c>
      <c r="X200" t="s">
        <v>55</v>
      </c>
      <c r="Y200" t="s">
        <v>59</v>
      </c>
      <c r="Z200">
        <v>0.25900000000000001</v>
      </c>
      <c r="AA200">
        <v>0.46500000000000002</v>
      </c>
      <c r="AB200">
        <v>84</v>
      </c>
      <c r="AC200">
        <v>8.1999999999999993</v>
      </c>
      <c r="AE200">
        <v>-89.207300000000004</v>
      </c>
      <c r="AF200">
        <v>13.7034</v>
      </c>
      <c r="AG200" t="s">
        <v>63</v>
      </c>
      <c r="AH200" t="s">
        <v>58</v>
      </c>
      <c r="AI200">
        <v>2743.373</v>
      </c>
      <c r="AJ200">
        <v>4.692062</v>
      </c>
      <c r="AK200">
        <v>15300000000</v>
      </c>
      <c r="AN200">
        <v>-0.2342185</v>
      </c>
      <c r="AO200">
        <v>74.979290000000006</v>
      </c>
      <c r="AP200">
        <v>55.148650000000004</v>
      </c>
      <c r="AR200">
        <v>9.2656480000000006</v>
      </c>
      <c r="AS200">
        <v>1.1262540000000001</v>
      </c>
      <c r="AT200">
        <v>2.3599100000000002</v>
      </c>
      <c r="AU200">
        <v>1.085764</v>
      </c>
      <c r="AV200">
        <v>2.3599100000000002</v>
      </c>
      <c r="AW200">
        <v>23.448399999999999</v>
      </c>
      <c r="AX200">
        <v>7.92</v>
      </c>
      <c r="AY200">
        <v>3.45084961092584</v>
      </c>
      <c r="AZ200" s="1">
        <v>0.144500002264977</v>
      </c>
      <c r="BA200" s="1">
        <v>0.118500001728535</v>
      </c>
      <c r="BB200" s="1">
        <v>0.26300001144409202</v>
      </c>
      <c r="BC200" s="1">
        <v>3.0625002000000001</v>
      </c>
      <c r="BD200" s="2">
        <v>55.148649259222999</v>
      </c>
      <c r="BE200" s="2">
        <f t="shared" si="6"/>
        <v>1.621358465332996</v>
      </c>
      <c r="BF200" s="2">
        <f t="shared" si="7"/>
        <v>3.0290314366481437</v>
      </c>
      <c r="BH200" s="3"/>
      <c r="BM200" s="3">
        <v>0</v>
      </c>
      <c r="BN200">
        <v>16.431999999999999</v>
      </c>
      <c r="BO200">
        <v>100</v>
      </c>
      <c r="BP200">
        <v>2966241067.3735099</v>
      </c>
      <c r="BQ200">
        <v>306480571.35505009</v>
      </c>
      <c r="BR200">
        <v>11.522863498944266</v>
      </c>
      <c r="BS200">
        <v>6.7710000000000003E-4</v>
      </c>
      <c r="BT200">
        <v>0.1648568</v>
      </c>
      <c r="BU200">
        <v>1.47471917231015</v>
      </c>
    </row>
    <row r="201" spans="1:73" x14ac:dyDescent="0.2">
      <c r="A201">
        <v>395</v>
      </c>
      <c r="B201" t="s">
        <v>77</v>
      </c>
      <c r="C201">
        <v>1995</v>
      </c>
      <c r="D201">
        <v>8</v>
      </c>
      <c r="E201">
        <v>0</v>
      </c>
      <c r="F201" t="s">
        <v>78</v>
      </c>
      <c r="G201">
        <v>0.34105999999999997</v>
      </c>
      <c r="H201">
        <v>1</v>
      </c>
      <c r="I201">
        <v>2.3170000000000002</v>
      </c>
      <c r="J201">
        <v>2.5659999999999998</v>
      </c>
      <c r="K201">
        <v>3.3820000000000001</v>
      </c>
      <c r="L201">
        <v>3.56</v>
      </c>
      <c r="M201">
        <v>1.3180000000000001</v>
      </c>
      <c r="N201">
        <v>1.44</v>
      </c>
      <c r="O201">
        <v>1.042</v>
      </c>
      <c r="Q201">
        <v>0</v>
      </c>
      <c r="R201">
        <v>4592.3</v>
      </c>
      <c r="S201">
        <v>3.4940000000000002</v>
      </c>
      <c r="T201">
        <v>10.029999999999999</v>
      </c>
      <c r="U201">
        <v>7.65</v>
      </c>
      <c r="V201">
        <v>49.9</v>
      </c>
      <c r="W201" t="s">
        <v>54</v>
      </c>
      <c r="X201" t="s">
        <v>55</v>
      </c>
      <c r="Y201" t="s">
        <v>59</v>
      </c>
      <c r="Z201">
        <v>0.28299999999999997</v>
      </c>
      <c r="AA201">
        <v>0.48599999999999999</v>
      </c>
      <c r="AB201">
        <v>84</v>
      </c>
      <c r="AC201">
        <v>8.1999999999999993</v>
      </c>
      <c r="AE201">
        <v>-89.207300000000004</v>
      </c>
      <c r="AF201">
        <v>13.7034</v>
      </c>
      <c r="AG201" t="s">
        <v>63</v>
      </c>
      <c r="AH201" t="s">
        <v>58</v>
      </c>
      <c r="AI201">
        <v>2839.2049999999999</v>
      </c>
      <c r="AJ201">
        <v>4.7340809999999998</v>
      </c>
      <c r="AK201">
        <v>16000000000</v>
      </c>
      <c r="AN201">
        <v>-2.9318409999999999</v>
      </c>
      <c r="AO201">
        <v>74.282780000000002</v>
      </c>
      <c r="AP201">
        <v>59.360759999999999</v>
      </c>
      <c r="AQ201">
        <v>0.42633320000000002</v>
      </c>
      <c r="AR201">
        <v>9.770073</v>
      </c>
      <c r="AS201">
        <v>4.2019399999999998E-2</v>
      </c>
      <c r="AT201">
        <v>2.3055810000000001</v>
      </c>
      <c r="AU201">
        <v>1.085764</v>
      </c>
      <c r="AV201">
        <v>2.3055810000000001</v>
      </c>
      <c r="AW201">
        <v>23.49465</v>
      </c>
      <c r="AX201">
        <v>0.56000039999999995</v>
      </c>
      <c r="AY201">
        <v>3.45084961092584</v>
      </c>
      <c r="AZ201" s="1">
        <v>0.144500002264977</v>
      </c>
      <c r="BA201" s="1">
        <v>0.118500001728535</v>
      </c>
      <c r="BB201" s="1">
        <v>0.26300001144409202</v>
      </c>
      <c r="BC201" s="1">
        <v>3.0625002000000001</v>
      </c>
      <c r="BD201" s="2">
        <v>59.360754818399002</v>
      </c>
      <c r="BE201" s="2">
        <f t="shared" si="6"/>
        <v>4.2121055591760026</v>
      </c>
      <c r="BF201" s="2">
        <f t="shared" si="7"/>
        <v>7.6377311425656984</v>
      </c>
      <c r="BH201" s="3"/>
      <c r="BM201" s="3">
        <v>38.037199999999999</v>
      </c>
      <c r="BN201">
        <v>38.037199999999999</v>
      </c>
      <c r="BO201" t="e">
        <v>#DIV/0!</v>
      </c>
      <c r="BP201">
        <v>3334418935.29532</v>
      </c>
      <c r="BQ201">
        <v>368177867.92181015</v>
      </c>
      <c r="BR201">
        <v>12.412270599699344</v>
      </c>
      <c r="BS201">
        <v>0.50442500000000001</v>
      </c>
      <c r="BT201">
        <v>0.93077030000000005</v>
      </c>
      <c r="BU201">
        <v>2.4054893744666499</v>
      </c>
    </row>
    <row r="202" spans="1:73" x14ac:dyDescent="0.2">
      <c r="A202">
        <v>396</v>
      </c>
      <c r="B202" t="s">
        <v>77</v>
      </c>
      <c r="C202">
        <v>1996</v>
      </c>
      <c r="D202">
        <v>8</v>
      </c>
      <c r="E202">
        <v>0</v>
      </c>
      <c r="F202" t="s">
        <v>78</v>
      </c>
      <c r="G202">
        <v>0.34105999999999997</v>
      </c>
      <c r="H202">
        <v>0</v>
      </c>
      <c r="I202">
        <v>2.3170000000000002</v>
      </c>
      <c r="J202">
        <v>2.5659999999999998</v>
      </c>
      <c r="K202">
        <v>3.3820000000000001</v>
      </c>
      <c r="L202">
        <v>3.56</v>
      </c>
      <c r="M202">
        <v>1.3180000000000001</v>
      </c>
      <c r="N202">
        <v>1.44</v>
      </c>
      <c r="O202">
        <v>1.042</v>
      </c>
      <c r="P202">
        <v>5.0069999999999997</v>
      </c>
      <c r="Q202">
        <v>0</v>
      </c>
      <c r="R202">
        <v>4671.3</v>
      </c>
      <c r="S202">
        <v>-0.26900000000000002</v>
      </c>
      <c r="T202">
        <v>9.7899999999999991</v>
      </c>
      <c r="U202">
        <v>7.68</v>
      </c>
      <c r="V202">
        <v>51</v>
      </c>
      <c r="W202" t="s">
        <v>54</v>
      </c>
      <c r="X202" t="s">
        <v>55</v>
      </c>
      <c r="Y202" t="s">
        <v>59</v>
      </c>
      <c r="Z202">
        <v>0.28599999999999998</v>
      </c>
      <c r="AA202">
        <v>0.48799999999999999</v>
      </c>
      <c r="AB202">
        <v>84</v>
      </c>
      <c r="AC202">
        <v>8.1999999999999993</v>
      </c>
      <c r="AE202">
        <v>-89.207300000000004</v>
      </c>
      <c r="AF202">
        <v>13.7034</v>
      </c>
      <c r="AG202" t="s">
        <v>63</v>
      </c>
      <c r="AH202" t="s">
        <v>58</v>
      </c>
      <c r="AI202">
        <v>2831.3879999999999</v>
      </c>
      <c r="AJ202">
        <v>0.81146189999999996</v>
      </c>
      <c r="AK202">
        <v>16100000000</v>
      </c>
      <c r="AN202">
        <v>-1.7634099999999999</v>
      </c>
      <c r="AO202">
        <v>73.905929999999998</v>
      </c>
      <c r="AP202">
        <v>55.281860000000002</v>
      </c>
      <c r="AR202">
        <v>10.927580000000001</v>
      </c>
      <c r="AS202">
        <v>3.9226190000000001</v>
      </c>
      <c r="AT202">
        <v>2.281361</v>
      </c>
      <c r="AU202">
        <v>1.085764</v>
      </c>
      <c r="AV202">
        <v>2.281361</v>
      </c>
      <c r="AW202">
        <v>23.50273</v>
      </c>
      <c r="AX202">
        <v>0.23999980000000001</v>
      </c>
      <c r="AY202">
        <v>3.45084961092584</v>
      </c>
      <c r="AZ202" s="1">
        <v>0.144500002264977</v>
      </c>
      <c r="BA202" s="1">
        <v>0.118500001728535</v>
      </c>
      <c r="BB202" s="1">
        <v>0.26300001144409202</v>
      </c>
      <c r="BC202" s="1">
        <v>3.0625002000000001</v>
      </c>
      <c r="BD202" s="2">
        <v>55.281856944376997</v>
      </c>
      <c r="BE202" s="2">
        <f t="shared" si="6"/>
        <v>4.0788978740220045</v>
      </c>
      <c r="BF202" s="2">
        <f t="shared" si="7"/>
        <v>6.8713713066831499</v>
      </c>
      <c r="BH202" s="3"/>
      <c r="BM202" s="3">
        <v>-7.1958000000000002</v>
      </c>
      <c r="BN202">
        <v>45.232999999999997</v>
      </c>
      <c r="BO202">
        <v>118.91779626260606</v>
      </c>
      <c r="BP202">
        <v>2937392239.1573501</v>
      </c>
      <c r="BQ202">
        <v>397026696.13796997</v>
      </c>
      <c r="BR202">
        <v>11.906923030438179</v>
      </c>
      <c r="BS202">
        <v>1.1575089999999999</v>
      </c>
      <c r="BT202">
        <v>1.892015</v>
      </c>
      <c r="BU202">
        <v>0.51347428284806496</v>
      </c>
    </row>
    <row r="203" spans="1:73" x14ac:dyDescent="0.2">
      <c r="A203">
        <v>397</v>
      </c>
      <c r="B203" t="s">
        <v>77</v>
      </c>
      <c r="C203">
        <v>1997</v>
      </c>
      <c r="D203">
        <v>8</v>
      </c>
      <c r="E203">
        <v>1</v>
      </c>
      <c r="F203" t="s">
        <v>78</v>
      </c>
      <c r="G203">
        <v>0.34105999999999997</v>
      </c>
      <c r="H203">
        <v>1</v>
      </c>
      <c r="I203">
        <v>5.7990000000000004</v>
      </c>
      <c r="J203">
        <v>5.649</v>
      </c>
      <c r="K203">
        <v>5.351</v>
      </c>
      <c r="L203">
        <v>5.282</v>
      </c>
      <c r="M203">
        <v>2.1110000000000002</v>
      </c>
      <c r="N203">
        <v>2.0830000000000002</v>
      </c>
      <c r="O203">
        <v>1.042</v>
      </c>
      <c r="P203">
        <v>5.2530000000000001</v>
      </c>
      <c r="Q203">
        <v>1</v>
      </c>
      <c r="R203">
        <v>4882.7</v>
      </c>
      <c r="S203">
        <v>2.1240000000000001</v>
      </c>
      <c r="T203">
        <v>4.49</v>
      </c>
      <c r="U203">
        <v>7.98</v>
      </c>
      <c r="W203" t="s">
        <v>54</v>
      </c>
      <c r="X203" t="s">
        <v>55</v>
      </c>
      <c r="Y203" t="s">
        <v>59</v>
      </c>
      <c r="Z203">
        <v>0.28699999999999998</v>
      </c>
      <c r="AA203">
        <v>0.49099999999999999</v>
      </c>
      <c r="AB203">
        <v>84</v>
      </c>
      <c r="AC203">
        <v>5.6</v>
      </c>
      <c r="AE203">
        <v>-89.207300000000004</v>
      </c>
      <c r="AF203">
        <v>13.7034</v>
      </c>
      <c r="AG203" t="s">
        <v>63</v>
      </c>
      <c r="AH203" t="s">
        <v>58</v>
      </c>
      <c r="AI203">
        <v>2891.6019999999999</v>
      </c>
      <c r="AJ203">
        <v>3.1379700000000001</v>
      </c>
      <c r="AK203">
        <v>16600000000</v>
      </c>
      <c r="AN203">
        <v>-0.95638380000000001</v>
      </c>
      <c r="AO203">
        <v>73.571269999999998</v>
      </c>
      <c r="AP203">
        <v>63.557090000000002</v>
      </c>
      <c r="AQ203">
        <v>0.57762899999999995</v>
      </c>
      <c r="AR203">
        <v>10.88321</v>
      </c>
      <c r="AS203">
        <v>2.326508</v>
      </c>
      <c r="AT203">
        <v>1.5018530000000001</v>
      </c>
      <c r="AU203">
        <v>1.085764</v>
      </c>
      <c r="AV203">
        <v>1.5018530000000001</v>
      </c>
      <c r="AW203">
        <v>23.533629999999999</v>
      </c>
      <c r="AX203">
        <v>5.3</v>
      </c>
      <c r="AY203">
        <v>3.45084961092584</v>
      </c>
      <c r="AZ203" s="1">
        <v>4.9000002443790401E-2</v>
      </c>
      <c r="BA203" s="1">
        <v>0.173500001430511</v>
      </c>
      <c r="BB203" s="1">
        <v>0.22249999642372101</v>
      </c>
      <c r="BC203" s="1">
        <v>4.1263155999999999</v>
      </c>
      <c r="BD203" s="2">
        <v>63.557092296141001</v>
      </c>
      <c r="BE203" s="2">
        <f t="shared" si="6"/>
        <v>8.2752353517640032</v>
      </c>
      <c r="BF203" s="2">
        <f t="shared" si="7"/>
        <v>14.969170373727325</v>
      </c>
      <c r="BH203" s="3"/>
      <c r="BM203" s="3">
        <v>59.043500000000002</v>
      </c>
      <c r="BN203">
        <v>66.2393</v>
      </c>
      <c r="BO203">
        <v>-920.52725200811585</v>
      </c>
      <c r="BP203">
        <v>3149896640.9156499</v>
      </c>
      <c r="BQ203">
        <v>212504401.75829983</v>
      </c>
      <c r="BR203">
        <v>7.234457793054597</v>
      </c>
      <c r="BS203">
        <v>4.4373500000000003E-2</v>
      </c>
      <c r="BT203">
        <v>1.4184369999999999</v>
      </c>
      <c r="BU203">
        <v>1.9319116889143999</v>
      </c>
    </row>
    <row r="204" spans="1:73" x14ac:dyDescent="0.2">
      <c r="A204">
        <v>398</v>
      </c>
      <c r="B204" t="s">
        <v>77</v>
      </c>
      <c r="C204">
        <v>1998</v>
      </c>
      <c r="D204">
        <v>8</v>
      </c>
      <c r="E204">
        <v>0</v>
      </c>
      <c r="F204" t="s">
        <v>78</v>
      </c>
      <c r="G204">
        <v>0.34105999999999997</v>
      </c>
      <c r="H204">
        <v>1</v>
      </c>
      <c r="I204">
        <v>5.7990000000000004</v>
      </c>
      <c r="J204">
        <v>5.649</v>
      </c>
      <c r="K204">
        <v>5.351</v>
      </c>
      <c r="L204">
        <v>5.282</v>
      </c>
      <c r="M204">
        <v>2.1110000000000002</v>
      </c>
      <c r="N204">
        <v>2.0830000000000002</v>
      </c>
      <c r="O204">
        <v>1.042</v>
      </c>
      <c r="P204">
        <v>5.242</v>
      </c>
      <c r="Q204">
        <v>0</v>
      </c>
      <c r="R204">
        <v>5077.8999999999996</v>
      </c>
      <c r="S204">
        <v>1.7430000000000001</v>
      </c>
      <c r="T204">
        <v>2.5499999999999998</v>
      </c>
      <c r="U204">
        <v>7.1</v>
      </c>
      <c r="V204">
        <v>54.5</v>
      </c>
      <c r="W204" t="s">
        <v>54</v>
      </c>
      <c r="X204" t="s">
        <v>55</v>
      </c>
      <c r="Y204" t="s">
        <v>59</v>
      </c>
      <c r="Z204">
        <v>0.29499999999999998</v>
      </c>
      <c r="AA204">
        <v>0.49099999999999999</v>
      </c>
      <c r="AB204">
        <v>84</v>
      </c>
      <c r="AC204">
        <v>5.6</v>
      </c>
      <c r="AD204">
        <v>24.652930000000001</v>
      </c>
      <c r="AE204">
        <v>-89.207300000000004</v>
      </c>
      <c r="AF204">
        <v>13.7034</v>
      </c>
      <c r="AG204" t="s">
        <v>63</v>
      </c>
      <c r="AH204" t="s">
        <v>58</v>
      </c>
      <c r="AI204">
        <v>2941.94</v>
      </c>
      <c r="AJ204">
        <v>2.6522770000000002</v>
      </c>
      <c r="AK204">
        <v>17100000000</v>
      </c>
      <c r="AM204">
        <v>24.652930000000001</v>
      </c>
      <c r="AN204">
        <v>-0.82923809999999998</v>
      </c>
      <c r="AO204">
        <v>73.287530000000004</v>
      </c>
      <c r="AP204">
        <v>60.87229</v>
      </c>
      <c r="AQ204">
        <v>10.08245</v>
      </c>
      <c r="AR204">
        <v>11.82708</v>
      </c>
      <c r="AS204">
        <v>0.48569269999999998</v>
      </c>
      <c r="AT204">
        <v>0.93609330000000002</v>
      </c>
      <c r="AU204">
        <v>1.085764</v>
      </c>
      <c r="AV204">
        <v>0.93609330000000002</v>
      </c>
      <c r="AW204">
        <v>23.559809999999999</v>
      </c>
      <c r="AX204">
        <v>1.94</v>
      </c>
      <c r="AY204">
        <v>3.45084961092584</v>
      </c>
      <c r="AZ204" s="1">
        <v>4.9000002443790401E-2</v>
      </c>
      <c r="BA204" s="1">
        <v>0.173500001430511</v>
      </c>
      <c r="BB204" s="1">
        <v>0.22249999642372101</v>
      </c>
      <c r="BC204" s="1">
        <v>4.1263155999999999</v>
      </c>
      <c r="BD204" s="2">
        <v>60.872290559832997</v>
      </c>
      <c r="BE204" s="2">
        <f t="shared" si="6"/>
        <v>2.6848017363080032</v>
      </c>
      <c r="BF204" s="2">
        <f t="shared" si="7"/>
        <v>4.2242362564327323</v>
      </c>
      <c r="BH204" s="3"/>
      <c r="BM204" s="3">
        <v>1102.6821</v>
      </c>
      <c r="BN204">
        <v>1043.6386</v>
      </c>
      <c r="BO204">
        <v>1767.5757704065645</v>
      </c>
      <c r="BP204">
        <v>3377622803.21071</v>
      </c>
      <c r="BQ204">
        <v>227726162.29506016</v>
      </c>
      <c r="BR204">
        <v>7.229639199490113</v>
      </c>
      <c r="BS204">
        <v>0.94386959999999998</v>
      </c>
      <c r="BT204">
        <v>0.61074070000000003</v>
      </c>
      <c r="BU204">
        <v>2.5426524466941598</v>
      </c>
    </row>
    <row r="205" spans="1:73" x14ac:dyDescent="0.2">
      <c r="A205">
        <v>399</v>
      </c>
      <c r="B205" t="s">
        <v>77</v>
      </c>
      <c r="C205">
        <v>1999</v>
      </c>
      <c r="D205">
        <v>8</v>
      </c>
      <c r="E205">
        <v>0</v>
      </c>
      <c r="F205" t="s">
        <v>78</v>
      </c>
      <c r="G205">
        <v>0.34105999999999997</v>
      </c>
      <c r="H205">
        <v>0</v>
      </c>
      <c r="I205">
        <v>5.7990000000000004</v>
      </c>
      <c r="J205">
        <v>5.649</v>
      </c>
      <c r="K205">
        <v>5.351</v>
      </c>
      <c r="L205">
        <v>5.282</v>
      </c>
      <c r="M205">
        <v>2.1110000000000002</v>
      </c>
      <c r="N205">
        <v>2.0830000000000002</v>
      </c>
      <c r="O205">
        <v>1.042</v>
      </c>
      <c r="P205">
        <v>5.242</v>
      </c>
      <c r="Q205">
        <v>0</v>
      </c>
      <c r="R205">
        <v>5263.9</v>
      </c>
      <c r="S205">
        <v>1.3380000000000001</v>
      </c>
      <c r="T205">
        <v>0.51</v>
      </c>
      <c r="U205">
        <v>6.68</v>
      </c>
      <c r="V205">
        <v>52.2</v>
      </c>
      <c r="W205" t="s">
        <v>54</v>
      </c>
      <c r="X205" t="s">
        <v>55</v>
      </c>
      <c r="Y205" t="s">
        <v>59</v>
      </c>
      <c r="Z205">
        <v>0.30399999999999999</v>
      </c>
      <c r="AA205">
        <v>0.504</v>
      </c>
      <c r="AB205">
        <v>84</v>
      </c>
      <c r="AC205">
        <v>5.6</v>
      </c>
      <c r="AD205">
        <v>28.190660000000001</v>
      </c>
      <c r="AE205">
        <v>-89.207300000000004</v>
      </c>
      <c r="AF205">
        <v>13.7034</v>
      </c>
      <c r="AG205" t="s">
        <v>63</v>
      </c>
      <c r="AH205" t="s">
        <v>58</v>
      </c>
      <c r="AI205">
        <v>2981.3420000000001</v>
      </c>
      <c r="AJ205">
        <v>2.1620339999999998</v>
      </c>
      <c r="AK205">
        <v>17400000000</v>
      </c>
      <c r="AM205">
        <v>28.190660000000001</v>
      </c>
      <c r="AN205">
        <v>-2.1206649999999998</v>
      </c>
      <c r="AO205">
        <v>73.035480000000007</v>
      </c>
      <c r="AP205">
        <v>60.990490000000001</v>
      </c>
      <c r="AQ205">
        <v>1.912409</v>
      </c>
      <c r="AR205">
        <v>12.511419999999999</v>
      </c>
      <c r="AS205">
        <v>0.4902434</v>
      </c>
      <c r="AT205">
        <v>-0.67334459999999996</v>
      </c>
      <c r="AU205">
        <v>1.085764</v>
      </c>
      <c r="AV205">
        <v>-0.67334459999999996</v>
      </c>
      <c r="AW205">
        <v>23.581199999999999</v>
      </c>
      <c r="AX205">
        <v>2.04</v>
      </c>
      <c r="AY205">
        <v>3.45084961092584</v>
      </c>
      <c r="AZ205" s="1">
        <v>4.9000002443790401E-2</v>
      </c>
      <c r="BA205" s="1">
        <v>0.173500001430511</v>
      </c>
      <c r="BB205" s="1">
        <v>0.22249999642372101</v>
      </c>
      <c r="BC205" s="1">
        <v>4.1263155999999999</v>
      </c>
      <c r="BD205" s="2">
        <v>60.990489717134999</v>
      </c>
      <c r="BE205" s="2">
        <f t="shared" si="6"/>
        <v>0.11819915730200137</v>
      </c>
      <c r="BF205" s="2">
        <f t="shared" si="7"/>
        <v>0.19417563593375917</v>
      </c>
      <c r="BH205" s="3"/>
      <c r="BM205" s="3">
        <v>162</v>
      </c>
      <c r="BN205">
        <v>940.68209999999999</v>
      </c>
      <c r="BO205">
        <v>85.308549036934579</v>
      </c>
      <c r="BP205">
        <v>3342801877.8001599</v>
      </c>
      <c r="BQ205">
        <v>34820925.410550117</v>
      </c>
      <c r="BR205">
        <v>1.0309299598951649</v>
      </c>
      <c r="BS205">
        <v>0.68434430000000002</v>
      </c>
      <c r="BT205">
        <v>1.1272990000000001</v>
      </c>
      <c r="BU205">
        <v>1.4153536963511499</v>
      </c>
    </row>
    <row r="206" spans="1:73" x14ac:dyDescent="0.2">
      <c r="A206">
        <v>400</v>
      </c>
      <c r="B206" t="s">
        <v>77</v>
      </c>
      <c r="C206">
        <v>2000</v>
      </c>
      <c r="D206">
        <v>8</v>
      </c>
      <c r="E206">
        <v>1</v>
      </c>
      <c r="F206" t="s">
        <v>78</v>
      </c>
      <c r="G206">
        <v>0.75756000000000001</v>
      </c>
      <c r="H206">
        <v>0</v>
      </c>
      <c r="I206">
        <v>5.3650000000000002</v>
      </c>
      <c r="J206">
        <v>5.4409999999999998</v>
      </c>
      <c r="K206">
        <v>5.1470000000000002</v>
      </c>
      <c r="L206">
        <v>5.1829999999999998</v>
      </c>
      <c r="M206">
        <v>2.028</v>
      </c>
      <c r="N206">
        <v>2.089</v>
      </c>
      <c r="O206">
        <v>0.92600000000000005</v>
      </c>
      <c r="P206">
        <v>4.32</v>
      </c>
      <c r="Q206">
        <v>1</v>
      </c>
      <c r="R206">
        <v>5403.7</v>
      </c>
      <c r="S206">
        <v>0.38600000000000001</v>
      </c>
      <c r="T206">
        <v>2.27</v>
      </c>
      <c r="U206">
        <v>6.96</v>
      </c>
      <c r="V206">
        <v>51.5</v>
      </c>
      <c r="W206" t="s">
        <v>54</v>
      </c>
      <c r="X206" t="s">
        <v>55</v>
      </c>
      <c r="Y206" t="s">
        <v>59</v>
      </c>
      <c r="Z206">
        <v>0.32500000000000001</v>
      </c>
      <c r="AA206">
        <v>0.52800000000000002</v>
      </c>
      <c r="AB206">
        <v>84</v>
      </c>
      <c r="AC206">
        <v>5.6</v>
      </c>
      <c r="AD206">
        <v>27.37641</v>
      </c>
      <c r="AE206">
        <v>-89.207300000000004</v>
      </c>
      <c r="AF206">
        <v>13.7034</v>
      </c>
      <c r="AG206" t="s">
        <v>63</v>
      </c>
      <c r="AH206" t="s">
        <v>58</v>
      </c>
      <c r="AI206">
        <v>2992.9009999999998</v>
      </c>
      <c r="AJ206">
        <v>1.127907</v>
      </c>
      <c r="AK206">
        <v>17600000000</v>
      </c>
      <c r="AM206">
        <v>27.37641</v>
      </c>
      <c r="AN206">
        <v>-3.652971</v>
      </c>
      <c r="AO206">
        <v>72.763570000000001</v>
      </c>
      <c r="AP206">
        <v>68.710089999999994</v>
      </c>
      <c r="AQ206">
        <v>1.471371</v>
      </c>
      <c r="AR206">
        <v>13.085739999999999</v>
      </c>
      <c r="AS206">
        <v>1.034127</v>
      </c>
      <c r="AT206">
        <v>0.81977979999999995</v>
      </c>
      <c r="AU206">
        <v>0.85747600000000002</v>
      </c>
      <c r="AV206">
        <v>0.81977979999999995</v>
      </c>
      <c r="AW206">
        <v>23.592410000000001</v>
      </c>
      <c r="AX206">
        <v>1.76</v>
      </c>
      <c r="AY206">
        <v>3.3587422582182</v>
      </c>
      <c r="AZ206" s="1">
        <v>0.11400000005960501</v>
      </c>
      <c r="BA206" s="1">
        <v>2.9999999329447701E-2</v>
      </c>
      <c r="BB206" s="1">
        <v>0.143999993801117</v>
      </c>
      <c r="BC206" s="1">
        <v>3.4656189999999998</v>
      </c>
      <c r="BD206" s="2">
        <v>68.710088857741994</v>
      </c>
      <c r="BE206" s="2">
        <f t="shared" si="6"/>
        <v>7.719599140606995</v>
      </c>
      <c r="BF206" s="2">
        <f t="shared" si="7"/>
        <v>12.657053872512535</v>
      </c>
      <c r="BH206" s="3"/>
      <c r="BM206" s="3">
        <v>178.4</v>
      </c>
      <c r="BN206">
        <v>16.400000000000006</v>
      </c>
      <c r="BO206">
        <v>10.123456790123459</v>
      </c>
      <c r="BP206">
        <v>3493058725.4854202</v>
      </c>
      <c r="BQ206">
        <v>150256847.6852603</v>
      </c>
      <c r="BR206">
        <v>4.4949372765143272</v>
      </c>
      <c r="BS206">
        <v>0.57431980000000005</v>
      </c>
      <c r="BT206">
        <v>0.29782449999999999</v>
      </c>
      <c r="BU206">
        <v>1.1175291324180401</v>
      </c>
    </row>
    <row r="207" spans="1:73" x14ac:dyDescent="0.2">
      <c r="A207">
        <v>401</v>
      </c>
      <c r="B207" t="s">
        <v>77</v>
      </c>
      <c r="C207">
        <v>2001</v>
      </c>
      <c r="D207">
        <v>8</v>
      </c>
      <c r="E207">
        <v>0</v>
      </c>
      <c r="F207" t="s">
        <v>78</v>
      </c>
      <c r="G207">
        <v>0.75756000000000001</v>
      </c>
      <c r="H207">
        <v>0</v>
      </c>
      <c r="I207">
        <v>5.3650000000000002</v>
      </c>
      <c r="J207">
        <v>5.4409999999999998</v>
      </c>
      <c r="K207">
        <v>5.1470000000000002</v>
      </c>
      <c r="L207">
        <v>5.1829999999999998</v>
      </c>
      <c r="M207">
        <v>2.028</v>
      </c>
      <c r="N207">
        <v>2.089</v>
      </c>
      <c r="O207">
        <v>0.92600000000000005</v>
      </c>
      <c r="P207">
        <v>5.2160000000000002</v>
      </c>
      <c r="Q207">
        <v>0</v>
      </c>
      <c r="R207">
        <v>5550.2</v>
      </c>
      <c r="S207">
        <v>0.21199999999999999</v>
      </c>
      <c r="T207">
        <v>3.75</v>
      </c>
      <c r="U207">
        <v>6.96</v>
      </c>
      <c r="V207">
        <v>51.4</v>
      </c>
      <c r="W207" t="s">
        <v>54</v>
      </c>
      <c r="X207" t="s">
        <v>55</v>
      </c>
      <c r="Y207" t="s">
        <v>59</v>
      </c>
      <c r="Z207">
        <v>0.33400000000000002</v>
      </c>
      <c r="AA207">
        <v>0.53900000000000003</v>
      </c>
      <c r="AB207">
        <v>84</v>
      </c>
      <c r="AC207">
        <v>5.6</v>
      </c>
      <c r="AD207">
        <v>35.370550000000001</v>
      </c>
      <c r="AE207">
        <v>-89.207300000000004</v>
      </c>
      <c r="AF207">
        <v>13.7034</v>
      </c>
      <c r="AG207" t="s">
        <v>63</v>
      </c>
      <c r="AH207" t="s">
        <v>58</v>
      </c>
      <c r="AI207">
        <v>2999.3240000000001</v>
      </c>
      <c r="AJ207">
        <v>0.8796136</v>
      </c>
      <c r="AK207">
        <v>17800000000</v>
      </c>
      <c r="AL207">
        <v>45.912869999999998</v>
      </c>
      <c r="AM207">
        <v>35.370550000000001</v>
      </c>
      <c r="AN207">
        <v>-1.223689</v>
      </c>
      <c r="AO207">
        <v>72.35275</v>
      </c>
      <c r="AP207">
        <v>65.890739999999994</v>
      </c>
      <c r="AQ207">
        <v>2.2707039999999998</v>
      </c>
      <c r="AR207">
        <v>13.806660000000001</v>
      </c>
      <c r="AS207">
        <v>0.24829329999999999</v>
      </c>
      <c r="AT207">
        <v>1.3217559999999999</v>
      </c>
      <c r="AU207">
        <v>0.85747600000000002</v>
      </c>
      <c r="AV207">
        <v>1.3217559999999999</v>
      </c>
      <c r="AW207">
        <v>23.60117</v>
      </c>
      <c r="AX207">
        <v>1.48</v>
      </c>
      <c r="AY207">
        <v>3.3587422582182</v>
      </c>
      <c r="AZ207" s="1">
        <v>0.11400000005960501</v>
      </c>
      <c r="BA207" s="1">
        <v>2.9999999329447701E-2</v>
      </c>
      <c r="BB207" s="1">
        <v>0.143999993801117</v>
      </c>
      <c r="BC207" s="1">
        <v>3.4656189999999998</v>
      </c>
      <c r="BD207" s="2">
        <v>65.890739141889</v>
      </c>
      <c r="BE207" s="2">
        <f t="shared" si="6"/>
        <v>2.8193497158529937</v>
      </c>
      <c r="BF207" s="2">
        <f t="shared" si="7"/>
        <v>4.1032543585996537</v>
      </c>
      <c r="BH207" s="3"/>
      <c r="BJ207" s="3">
        <v>1267</v>
      </c>
      <c r="BM207" s="3">
        <v>288.60000000000002</v>
      </c>
      <c r="BN207">
        <v>110.20000000000002</v>
      </c>
      <c r="BO207">
        <v>61.771300448430502</v>
      </c>
      <c r="BP207">
        <v>3517237568.2339802</v>
      </c>
      <c r="BQ207">
        <v>24178842.748559952</v>
      </c>
      <c r="BR207">
        <v>0.69219685807600873</v>
      </c>
      <c r="BS207">
        <v>0.72091669999999997</v>
      </c>
      <c r="BT207">
        <v>1.214097</v>
      </c>
      <c r="BU207">
        <v>-9.6568126226571793E-2</v>
      </c>
    </row>
    <row r="208" spans="1:73" x14ac:dyDescent="0.2">
      <c r="A208">
        <v>402</v>
      </c>
      <c r="B208" t="s">
        <v>77</v>
      </c>
      <c r="C208">
        <v>2002</v>
      </c>
      <c r="D208">
        <v>8</v>
      </c>
      <c r="E208">
        <v>0</v>
      </c>
      <c r="F208" t="s">
        <v>78</v>
      </c>
      <c r="G208">
        <v>0.75756000000000001</v>
      </c>
      <c r="H208">
        <v>0</v>
      </c>
      <c r="I208">
        <v>5.3650000000000002</v>
      </c>
      <c r="J208">
        <v>5.4409999999999998</v>
      </c>
      <c r="K208">
        <v>5.1470000000000002</v>
      </c>
      <c r="L208">
        <v>5.1829999999999998</v>
      </c>
      <c r="M208">
        <v>2.028</v>
      </c>
      <c r="N208">
        <v>2.089</v>
      </c>
      <c r="O208">
        <v>0.92600000000000005</v>
      </c>
      <c r="P208">
        <v>4.5940000000000003</v>
      </c>
      <c r="Q208">
        <v>0</v>
      </c>
      <c r="R208">
        <v>5751.1</v>
      </c>
      <c r="S208">
        <v>0.98199999999999998</v>
      </c>
      <c r="T208">
        <v>1.87</v>
      </c>
      <c r="U208">
        <v>5.73</v>
      </c>
      <c r="V208">
        <v>51.9</v>
      </c>
      <c r="W208" t="s">
        <v>54</v>
      </c>
      <c r="X208" t="s">
        <v>55</v>
      </c>
      <c r="Y208" t="s">
        <v>59</v>
      </c>
      <c r="Z208">
        <v>0.33900000000000002</v>
      </c>
      <c r="AA208">
        <v>0.55100000000000005</v>
      </c>
      <c r="AB208">
        <v>84</v>
      </c>
      <c r="AC208">
        <v>5.6</v>
      </c>
      <c r="AD208">
        <v>62.446950000000001</v>
      </c>
      <c r="AE208">
        <v>-89.207300000000004</v>
      </c>
      <c r="AF208">
        <v>13.7034</v>
      </c>
      <c r="AG208" t="s">
        <v>63</v>
      </c>
      <c r="AH208" t="s">
        <v>58</v>
      </c>
      <c r="AI208">
        <v>3028.5459999999998</v>
      </c>
      <c r="AJ208">
        <v>1.572918</v>
      </c>
      <c r="AK208">
        <v>18100000000</v>
      </c>
      <c r="AL208">
        <v>45.560459999999999</v>
      </c>
      <c r="AM208">
        <v>62.446950000000001</v>
      </c>
      <c r="AN208">
        <v>-3.1991779999999999</v>
      </c>
      <c r="AO208">
        <v>71.86206</v>
      </c>
      <c r="AP208">
        <v>65.919089999999997</v>
      </c>
      <c r="AQ208">
        <v>3.711252</v>
      </c>
      <c r="AR208">
        <v>14.015689999999999</v>
      </c>
      <c r="AS208">
        <v>0.69330480000000005</v>
      </c>
      <c r="AT208">
        <v>0.62593840000000001</v>
      </c>
      <c r="AU208">
        <v>0.85747600000000002</v>
      </c>
      <c r="AV208">
        <v>0.62593840000000001</v>
      </c>
      <c r="AW208">
        <v>23.616779999999999</v>
      </c>
      <c r="AX208">
        <v>1.88</v>
      </c>
      <c r="AY208">
        <v>3.3587422582182</v>
      </c>
      <c r="AZ208" s="1">
        <v>0.11400000005960501</v>
      </c>
      <c r="BA208" s="1">
        <v>2.9999999329447701E-2</v>
      </c>
      <c r="BB208" s="1">
        <v>0.143999993801117</v>
      </c>
      <c r="BC208" s="1">
        <v>3.4656189999999998</v>
      </c>
      <c r="BD208" s="2">
        <v>65.919091242196004</v>
      </c>
      <c r="BE208" s="2">
        <f t="shared" si="6"/>
        <v>2.8352100307003525E-2</v>
      </c>
      <c r="BF208" s="2">
        <f t="shared" si="7"/>
        <v>4.3028960786052443E-2</v>
      </c>
      <c r="BG208">
        <v>6558</v>
      </c>
      <c r="BH208" s="3">
        <v>141</v>
      </c>
      <c r="BI208">
        <v>2.1047917599641739</v>
      </c>
      <c r="BJ208" s="3">
        <v>1162</v>
      </c>
      <c r="BK208">
        <v>105</v>
      </c>
      <c r="BL208">
        <v>8.2872928176795586</v>
      </c>
      <c r="BM208" s="3">
        <v>495.7</v>
      </c>
      <c r="BN208">
        <v>207.09999999999997</v>
      </c>
      <c r="BO208">
        <v>71.760221760221739</v>
      </c>
      <c r="BP208">
        <v>3636593942.2934999</v>
      </c>
      <c r="BQ208">
        <v>119356374.05951977</v>
      </c>
      <c r="BR208">
        <v>3.3934692139504556</v>
      </c>
      <c r="BS208">
        <v>0.2090359</v>
      </c>
      <c r="BT208">
        <v>1.5769569999999999</v>
      </c>
      <c r="BU208">
        <v>1.4803885196943201</v>
      </c>
    </row>
    <row r="209" spans="1:73" x14ac:dyDescent="0.2">
      <c r="A209">
        <v>403</v>
      </c>
      <c r="B209" t="s">
        <v>77</v>
      </c>
      <c r="C209">
        <v>2003</v>
      </c>
      <c r="D209">
        <v>8</v>
      </c>
      <c r="E209">
        <v>1</v>
      </c>
      <c r="F209" t="s">
        <v>78</v>
      </c>
      <c r="G209">
        <v>0.75756000000000001</v>
      </c>
      <c r="H209">
        <v>0</v>
      </c>
      <c r="I209">
        <v>6.6559999999999997</v>
      </c>
      <c r="J209">
        <v>7.585</v>
      </c>
      <c r="K209">
        <v>5.7329999999999997</v>
      </c>
      <c r="L209">
        <v>6.12</v>
      </c>
      <c r="M209">
        <v>2.2349999999999999</v>
      </c>
      <c r="N209">
        <v>2.5859999999999999</v>
      </c>
      <c r="O209">
        <v>0.92600000000000005</v>
      </c>
      <c r="P209">
        <v>5.6589999999999998</v>
      </c>
      <c r="Q209">
        <v>0</v>
      </c>
      <c r="R209">
        <v>5957.2</v>
      </c>
      <c r="S209">
        <v>1.0209999999999999</v>
      </c>
      <c r="T209">
        <v>2.12</v>
      </c>
      <c r="U209">
        <v>6.26</v>
      </c>
      <c r="V209">
        <v>50.5</v>
      </c>
      <c r="W209" t="s">
        <v>54</v>
      </c>
      <c r="X209" t="s">
        <v>55</v>
      </c>
      <c r="Y209" t="s">
        <v>59</v>
      </c>
      <c r="Z209">
        <v>0.33500000000000002</v>
      </c>
      <c r="AA209">
        <v>0.54</v>
      </c>
      <c r="AB209">
        <v>84</v>
      </c>
      <c r="AC209">
        <v>5.6</v>
      </c>
      <c r="AD209">
        <v>57.91122</v>
      </c>
      <c r="AE209">
        <v>-89.207300000000004</v>
      </c>
      <c r="AF209">
        <v>13.7034</v>
      </c>
      <c r="AG209" t="s">
        <v>63</v>
      </c>
      <c r="AH209" t="s">
        <v>58</v>
      </c>
      <c r="AI209">
        <v>3059.5659999999998</v>
      </c>
      <c r="AJ209">
        <v>1.565393</v>
      </c>
      <c r="AK209">
        <v>18300000000</v>
      </c>
      <c r="AL209">
        <v>47.428649999999998</v>
      </c>
      <c r="AM209">
        <v>57.91122</v>
      </c>
      <c r="AN209">
        <v>-5.3020519999999998</v>
      </c>
      <c r="AO209">
        <v>71.268730000000005</v>
      </c>
      <c r="AP209">
        <v>68.236980000000003</v>
      </c>
      <c r="AQ209">
        <v>1.066152</v>
      </c>
      <c r="AR209">
        <v>13.80768</v>
      </c>
      <c r="AS209">
        <v>7.5253000000000004E-3</v>
      </c>
      <c r="AT209">
        <v>0.75141599999999997</v>
      </c>
      <c r="AU209">
        <v>0.85747600000000002</v>
      </c>
      <c r="AV209">
        <v>0.75141599999999997</v>
      </c>
      <c r="AW209">
        <v>23.63231</v>
      </c>
      <c r="AX209">
        <v>0.2499999</v>
      </c>
      <c r="AY209">
        <v>3.3587422582182</v>
      </c>
      <c r="AZ209" s="1">
        <v>0.104000002145767</v>
      </c>
      <c r="BA209" s="1">
        <v>5.7500001043081297E-2</v>
      </c>
      <c r="BB209" s="1">
        <v>0.16150000691413899</v>
      </c>
      <c r="BC209" s="1">
        <v>3.5350701999999998</v>
      </c>
      <c r="BD209" s="2">
        <v>68.236983084884997</v>
      </c>
      <c r="BE209" s="2">
        <f t="shared" si="6"/>
        <v>2.3178918426889936</v>
      </c>
      <c r="BF209" s="2">
        <f t="shared" si="7"/>
        <v>3.5162678960071418</v>
      </c>
      <c r="BG209">
        <v>6714</v>
      </c>
      <c r="BH209" s="3">
        <v>156</v>
      </c>
      <c r="BI209">
        <v>2.3787740164684354</v>
      </c>
      <c r="BJ209" s="3">
        <v>1206</v>
      </c>
      <c r="BK209">
        <v>44</v>
      </c>
      <c r="BL209">
        <v>3.7865748709122204</v>
      </c>
      <c r="BM209" s="3">
        <v>122.6</v>
      </c>
      <c r="BN209">
        <v>373.1</v>
      </c>
      <c r="BO209">
        <v>75.267298769416982</v>
      </c>
      <c r="BP209">
        <v>3717627602.8375401</v>
      </c>
      <c r="BQ209">
        <v>81033660.544040203</v>
      </c>
      <c r="BR209">
        <v>2.2282845384968799</v>
      </c>
      <c r="BS209">
        <v>0.20801069999999999</v>
      </c>
      <c r="BT209">
        <v>1.1323810000000001</v>
      </c>
      <c r="BU209">
        <v>0.34800785939856399</v>
      </c>
    </row>
    <row r="210" spans="1:73" x14ac:dyDescent="0.2">
      <c r="A210">
        <v>404</v>
      </c>
      <c r="B210" t="s">
        <v>77</v>
      </c>
      <c r="C210">
        <v>2004</v>
      </c>
      <c r="D210">
        <v>8</v>
      </c>
      <c r="E210">
        <v>0</v>
      </c>
      <c r="F210" t="s">
        <v>78</v>
      </c>
      <c r="G210">
        <v>0.75756000000000001</v>
      </c>
      <c r="H210">
        <v>0</v>
      </c>
      <c r="I210">
        <v>6.6559999999999997</v>
      </c>
      <c r="J210">
        <v>7.585</v>
      </c>
      <c r="K210">
        <v>5.7329999999999997</v>
      </c>
      <c r="L210">
        <v>6.12</v>
      </c>
      <c r="M210">
        <v>2.2349999999999999</v>
      </c>
      <c r="N210">
        <v>2.5859999999999999</v>
      </c>
      <c r="O210">
        <v>0.92600000000000005</v>
      </c>
      <c r="P210">
        <v>5.5819999999999999</v>
      </c>
      <c r="Q210">
        <v>0</v>
      </c>
      <c r="R210">
        <v>6146</v>
      </c>
      <c r="S210">
        <v>0.39300000000000002</v>
      </c>
      <c r="T210">
        <v>4.45</v>
      </c>
      <c r="U210">
        <v>6.05</v>
      </c>
      <c r="V210">
        <v>47.8</v>
      </c>
      <c r="W210" t="s">
        <v>54</v>
      </c>
      <c r="X210" t="s">
        <v>55</v>
      </c>
      <c r="Y210" t="s">
        <v>59</v>
      </c>
      <c r="Z210">
        <v>0.33800000000000002</v>
      </c>
      <c r="AA210">
        <v>0.54100000000000004</v>
      </c>
      <c r="AB210">
        <v>84</v>
      </c>
      <c r="AC210">
        <v>5.6</v>
      </c>
      <c r="AD210">
        <v>56.500599999999999</v>
      </c>
      <c r="AE210">
        <v>-89.207300000000004</v>
      </c>
      <c r="AF210">
        <v>13.7034</v>
      </c>
      <c r="AG210" t="s">
        <v>63</v>
      </c>
      <c r="AH210" t="s">
        <v>58</v>
      </c>
      <c r="AI210">
        <v>3071.5459999999998</v>
      </c>
      <c r="AJ210">
        <v>0.88940450000000004</v>
      </c>
      <c r="AK210">
        <v>18500000000</v>
      </c>
      <c r="AL210">
        <v>48.155189999999997</v>
      </c>
      <c r="AM210">
        <v>56.500599999999999</v>
      </c>
      <c r="AN210">
        <v>-4.676749</v>
      </c>
      <c r="AO210">
        <v>70.566649999999996</v>
      </c>
      <c r="AP210">
        <v>69.782259999999994</v>
      </c>
      <c r="AQ210">
        <v>2.6468120000000002</v>
      </c>
      <c r="AR210">
        <v>13.770580000000001</v>
      </c>
      <c r="AS210">
        <v>0.67598860000000005</v>
      </c>
      <c r="AT210">
        <v>1.492904</v>
      </c>
      <c r="AU210">
        <v>0.85747600000000002</v>
      </c>
      <c r="AV210">
        <v>1.492904</v>
      </c>
      <c r="AW210">
        <v>23.641159999999999</v>
      </c>
      <c r="AX210">
        <v>2.33</v>
      </c>
      <c r="AY210">
        <v>3.3587422582182</v>
      </c>
      <c r="AZ210" s="1">
        <v>0.104000002145767</v>
      </c>
      <c r="BA210" s="1">
        <v>5.7500001043081297E-2</v>
      </c>
      <c r="BB210" s="1">
        <v>0.16150000691413899</v>
      </c>
      <c r="BC210" s="1">
        <v>3.5350701999999998</v>
      </c>
      <c r="BD210" s="2">
        <v>69.782263981539998</v>
      </c>
      <c r="BE210" s="2">
        <f t="shared" si="6"/>
        <v>1.5452808966550009</v>
      </c>
      <c r="BF210" s="2">
        <f t="shared" si="7"/>
        <v>2.2645797437039565</v>
      </c>
      <c r="BG210">
        <v>6891</v>
      </c>
      <c r="BH210" s="3">
        <v>177</v>
      </c>
      <c r="BI210">
        <v>2.6362823949955319</v>
      </c>
      <c r="BJ210" s="3">
        <v>1361</v>
      </c>
      <c r="BK210">
        <v>155</v>
      </c>
      <c r="BL210">
        <v>12.85240464344942</v>
      </c>
      <c r="BM210" s="3">
        <v>366.02</v>
      </c>
      <c r="BN210">
        <v>243.42</v>
      </c>
      <c r="BO210">
        <v>198.54812398042415</v>
      </c>
      <c r="BP210">
        <v>3521266215.08988</v>
      </c>
      <c r="BQ210">
        <v>196361387.74766016</v>
      </c>
      <c r="BR210">
        <v>5.2819004140647143</v>
      </c>
      <c r="BS210">
        <v>3.7106500000000001E-2</v>
      </c>
      <c r="BT210">
        <v>0.6203552</v>
      </c>
      <c r="BU210">
        <v>0.96836311315946899</v>
      </c>
    </row>
    <row r="211" spans="1:73" x14ac:dyDescent="0.2">
      <c r="A211">
        <v>405</v>
      </c>
      <c r="B211" t="s">
        <v>77</v>
      </c>
      <c r="C211">
        <v>2005</v>
      </c>
      <c r="D211">
        <v>8</v>
      </c>
      <c r="E211">
        <v>0</v>
      </c>
      <c r="F211" t="s">
        <v>78</v>
      </c>
      <c r="G211">
        <v>0.75756000000000001</v>
      </c>
      <c r="H211">
        <v>0</v>
      </c>
      <c r="I211">
        <v>6.6559999999999997</v>
      </c>
      <c r="J211">
        <v>7.585</v>
      </c>
      <c r="K211">
        <v>5.7329999999999997</v>
      </c>
      <c r="L211">
        <v>6.12</v>
      </c>
      <c r="M211">
        <v>2.2349999999999999</v>
      </c>
      <c r="N211">
        <v>2.5859999999999999</v>
      </c>
      <c r="O211">
        <v>0.92600000000000005</v>
      </c>
      <c r="P211">
        <v>6.0519999999999996</v>
      </c>
      <c r="Q211">
        <v>0</v>
      </c>
      <c r="R211">
        <v>6441.5</v>
      </c>
      <c r="S211">
        <v>2.2269999999999999</v>
      </c>
      <c r="T211">
        <v>4.6900000000000004</v>
      </c>
      <c r="U211">
        <v>7.22</v>
      </c>
      <c r="V211">
        <v>48.5</v>
      </c>
      <c r="W211" t="s">
        <v>54</v>
      </c>
      <c r="X211" t="s">
        <v>55</v>
      </c>
      <c r="Y211" t="s">
        <v>59</v>
      </c>
      <c r="Z211">
        <v>0.34499999999999997</v>
      </c>
      <c r="AA211">
        <v>0.54200000000000004</v>
      </c>
      <c r="AB211">
        <v>84</v>
      </c>
      <c r="AC211">
        <v>5.6</v>
      </c>
      <c r="AD211">
        <v>56.215809999999998</v>
      </c>
      <c r="AE211">
        <v>-89.207300000000004</v>
      </c>
      <c r="AF211">
        <v>13.7034</v>
      </c>
      <c r="AG211" t="s">
        <v>63</v>
      </c>
      <c r="AH211" t="s">
        <v>58</v>
      </c>
      <c r="AI211">
        <v>3140.0329999999999</v>
      </c>
      <c r="AJ211">
        <v>2.7103980000000001</v>
      </c>
      <c r="AK211">
        <v>19000000000</v>
      </c>
      <c r="AL211">
        <v>49.923920000000003</v>
      </c>
      <c r="AM211">
        <v>56.215809999999998</v>
      </c>
      <c r="AN211">
        <v>-4.2290789999999996</v>
      </c>
      <c r="AO211">
        <v>69.754480000000001</v>
      </c>
      <c r="AP211">
        <v>69.715810000000005</v>
      </c>
      <c r="AQ211">
        <v>3.4776159999999998</v>
      </c>
      <c r="AR211">
        <v>13.99483</v>
      </c>
      <c r="AS211">
        <v>1.8209930000000001</v>
      </c>
      <c r="AT211">
        <v>1.5454330000000001</v>
      </c>
      <c r="AU211">
        <v>0.85747600000000002</v>
      </c>
      <c r="AV211">
        <v>1.5454330000000001</v>
      </c>
      <c r="AW211">
        <v>23.667909999999999</v>
      </c>
      <c r="AX211">
        <v>0.2400002</v>
      </c>
      <c r="AY211">
        <v>3.3587422582182</v>
      </c>
      <c r="AZ211" s="1">
        <v>0.104000002145767</v>
      </c>
      <c r="BA211" s="1">
        <v>5.7500001043081297E-2</v>
      </c>
      <c r="BB211" s="1">
        <v>0.16150000691413899</v>
      </c>
      <c r="BC211" s="1">
        <v>3.5350701999999998</v>
      </c>
      <c r="BD211" s="2">
        <v>69.715811675058006</v>
      </c>
      <c r="BE211" s="2">
        <f t="shared" si="6"/>
        <v>6.6452306481991741E-2</v>
      </c>
      <c r="BF211" s="2">
        <f t="shared" si="7"/>
        <v>9.5228074714759678E-2</v>
      </c>
      <c r="BG211">
        <v>7102</v>
      </c>
      <c r="BH211" s="3">
        <v>211</v>
      </c>
      <c r="BI211">
        <v>3.0619648817297924</v>
      </c>
      <c r="BJ211" s="3">
        <v>1455</v>
      </c>
      <c r="BK211">
        <v>94</v>
      </c>
      <c r="BL211">
        <v>6.9066862601028651</v>
      </c>
      <c r="BM211" s="3">
        <v>398.24</v>
      </c>
      <c r="BN211">
        <v>32.220000000000027</v>
      </c>
      <c r="BO211">
        <v>8.8027976613299899</v>
      </c>
      <c r="BP211">
        <v>3570775274.0512099</v>
      </c>
      <c r="BQ211">
        <v>49509058.961329937</v>
      </c>
      <c r="BR211">
        <v>1.4060015896885609</v>
      </c>
      <c r="BS211">
        <v>0.2242517</v>
      </c>
      <c r="BT211">
        <v>0.18457100000000001</v>
      </c>
      <c r="BU211">
        <v>1.15293409239077</v>
      </c>
    </row>
    <row r="212" spans="1:73" x14ac:dyDescent="0.2">
      <c r="A212">
        <v>406</v>
      </c>
      <c r="B212" t="s">
        <v>77</v>
      </c>
      <c r="C212">
        <v>2006</v>
      </c>
      <c r="D212">
        <v>8</v>
      </c>
      <c r="E212">
        <v>1</v>
      </c>
      <c r="F212" t="s">
        <v>78</v>
      </c>
      <c r="G212">
        <v>0.75756000000000001</v>
      </c>
      <c r="H212">
        <v>0</v>
      </c>
      <c r="I212">
        <v>10.595000000000001</v>
      </c>
      <c r="J212">
        <v>10.813000000000001</v>
      </c>
      <c r="K212">
        <v>7.2329999999999997</v>
      </c>
      <c r="L212">
        <v>7.3070000000000004</v>
      </c>
      <c r="M212">
        <v>2.9990000000000001</v>
      </c>
      <c r="N212">
        <v>3.0739999999999998</v>
      </c>
      <c r="O212">
        <v>0.92600000000000005</v>
      </c>
      <c r="P212">
        <v>5.4160000000000004</v>
      </c>
      <c r="Q212">
        <v>1</v>
      </c>
      <c r="R212">
        <v>6782.2</v>
      </c>
      <c r="S212">
        <v>3.875</v>
      </c>
      <c r="T212">
        <v>4.04</v>
      </c>
      <c r="U212">
        <v>6.57</v>
      </c>
      <c r="V212">
        <v>45.7</v>
      </c>
      <c r="W212" t="s">
        <v>54</v>
      </c>
      <c r="X212" t="s">
        <v>55</v>
      </c>
      <c r="Y212" t="s">
        <v>59</v>
      </c>
      <c r="Z212">
        <v>0.36199999999999999</v>
      </c>
      <c r="AA212">
        <v>0.56599999999999995</v>
      </c>
      <c r="AB212">
        <v>84</v>
      </c>
      <c r="AC212">
        <v>5.6</v>
      </c>
      <c r="AD212">
        <v>50.512219999999999</v>
      </c>
      <c r="AE212">
        <v>-89.207300000000004</v>
      </c>
      <c r="AF212">
        <v>13.7034</v>
      </c>
      <c r="AG212" t="s">
        <v>63</v>
      </c>
      <c r="AH212" t="s">
        <v>58</v>
      </c>
      <c r="AI212">
        <v>3261.7640000000001</v>
      </c>
      <c r="AJ212">
        <v>4.3448130000000003</v>
      </c>
      <c r="AK212">
        <v>19800000000</v>
      </c>
      <c r="AL212">
        <v>50.276420000000002</v>
      </c>
      <c r="AM212">
        <v>50.512219999999999</v>
      </c>
      <c r="AN212">
        <v>-4.784783</v>
      </c>
      <c r="AO212">
        <v>68.367990000000006</v>
      </c>
      <c r="AP212">
        <v>73.455569999999994</v>
      </c>
      <c r="AQ212">
        <v>1.5070730000000001</v>
      </c>
      <c r="AR212">
        <v>14.334350000000001</v>
      </c>
      <c r="AS212">
        <v>1.634415</v>
      </c>
      <c r="AT212">
        <v>1.396245</v>
      </c>
      <c r="AU212">
        <v>0.85747600000000002</v>
      </c>
      <c r="AV212">
        <v>1.396245</v>
      </c>
      <c r="AW212">
        <v>23.710439999999998</v>
      </c>
      <c r="AX212">
        <v>0.65000009999999997</v>
      </c>
      <c r="AY212">
        <v>3.3587422582182</v>
      </c>
      <c r="AZ212" s="1">
        <v>0.11399999260902401</v>
      </c>
      <c r="BA212" s="1">
        <v>8.1000000238418607E-2</v>
      </c>
      <c r="BB212" s="1">
        <v>0.19499999284744299</v>
      </c>
      <c r="BC212" s="1">
        <v>3.1029024000000001</v>
      </c>
      <c r="BD212" s="2">
        <v>73.455567507026998</v>
      </c>
      <c r="BE212" s="2">
        <f t="shared" si="6"/>
        <v>3.7397558319689921</v>
      </c>
      <c r="BF212" s="2">
        <f t="shared" si="7"/>
        <v>5.3642864396384153</v>
      </c>
      <c r="BG212">
        <v>7828</v>
      </c>
      <c r="BH212" s="3">
        <v>726</v>
      </c>
      <c r="BI212">
        <v>10.222472542945649</v>
      </c>
      <c r="BJ212" s="3">
        <v>1656</v>
      </c>
      <c r="BK212">
        <v>201</v>
      </c>
      <c r="BL212">
        <v>13.814432989690722</v>
      </c>
      <c r="BM212" s="3">
        <v>267.43</v>
      </c>
      <c r="BN212">
        <v>130.81</v>
      </c>
      <c r="BO212">
        <v>32.847026918441138</v>
      </c>
      <c r="BP212">
        <v>3860365134.8052001</v>
      </c>
      <c r="BQ212">
        <v>289589860.75399017</v>
      </c>
      <c r="BR212">
        <v>8.1099996087246637</v>
      </c>
      <c r="BS212">
        <v>0.33951949999999997</v>
      </c>
      <c r="BT212">
        <v>2.0852849999999998</v>
      </c>
      <c r="BU212">
        <v>3.2382193705692299</v>
      </c>
    </row>
    <row r="213" spans="1:73" x14ac:dyDescent="0.2">
      <c r="A213">
        <v>407</v>
      </c>
      <c r="B213" t="s">
        <v>77</v>
      </c>
      <c r="C213">
        <v>2007</v>
      </c>
      <c r="D213">
        <v>8</v>
      </c>
      <c r="E213">
        <v>0</v>
      </c>
      <c r="F213" t="s">
        <v>78</v>
      </c>
      <c r="G213">
        <v>0.75756000000000001</v>
      </c>
      <c r="H213">
        <v>0</v>
      </c>
      <c r="I213">
        <v>10.595000000000001</v>
      </c>
      <c r="J213">
        <v>10.813000000000001</v>
      </c>
      <c r="K213">
        <v>7.2329999999999997</v>
      </c>
      <c r="L213">
        <v>7.3070000000000004</v>
      </c>
      <c r="M213">
        <v>2.9990000000000001</v>
      </c>
      <c r="N213">
        <v>3.0739999999999998</v>
      </c>
      <c r="O213">
        <v>0.92600000000000005</v>
      </c>
      <c r="P213">
        <v>4.0590000000000002</v>
      </c>
      <c r="Q213">
        <v>0</v>
      </c>
      <c r="R213">
        <v>7139.2</v>
      </c>
      <c r="S213">
        <v>1.42</v>
      </c>
      <c r="T213">
        <v>4.58</v>
      </c>
      <c r="U213">
        <v>6.41</v>
      </c>
      <c r="V213">
        <v>45.2</v>
      </c>
      <c r="W213" t="s">
        <v>54</v>
      </c>
      <c r="X213" t="s">
        <v>55</v>
      </c>
      <c r="Y213" t="s">
        <v>59</v>
      </c>
      <c r="Z213">
        <v>0.36499999999999999</v>
      </c>
      <c r="AA213">
        <v>0.57099999999999995</v>
      </c>
      <c r="AB213">
        <v>84</v>
      </c>
      <c r="AC213">
        <v>8.24</v>
      </c>
      <c r="AD213">
        <v>48.482370000000003</v>
      </c>
      <c r="AE213">
        <v>-89.207300000000004</v>
      </c>
      <c r="AF213">
        <v>13.7034</v>
      </c>
      <c r="AG213" t="s">
        <v>63</v>
      </c>
      <c r="AH213" t="s">
        <v>58</v>
      </c>
      <c r="AI213">
        <v>3308.05</v>
      </c>
      <c r="AJ213">
        <v>1.8597049999999999</v>
      </c>
      <c r="AK213">
        <v>20200000000</v>
      </c>
      <c r="AL213">
        <v>51.534300000000002</v>
      </c>
      <c r="AM213">
        <v>48.482370000000003</v>
      </c>
      <c r="AN213">
        <v>-7.1512919999999998</v>
      </c>
      <c r="AO213">
        <v>67.10163</v>
      </c>
      <c r="AP213">
        <v>77.62106</v>
      </c>
      <c r="AQ213">
        <v>9.1143470000000004</v>
      </c>
      <c r="AR213">
        <v>14.344200000000001</v>
      </c>
      <c r="AS213">
        <v>2.4851079999999999</v>
      </c>
      <c r="AT213">
        <v>1.5216989999999999</v>
      </c>
      <c r="AU213">
        <v>0.85747600000000002</v>
      </c>
      <c r="AV213">
        <v>1.5216989999999999</v>
      </c>
      <c r="AW213">
        <v>23.728860000000001</v>
      </c>
      <c r="AX213">
        <v>0.54</v>
      </c>
      <c r="AY213">
        <v>3.3587422582182</v>
      </c>
      <c r="AZ213" s="1">
        <v>0.11399999260902401</v>
      </c>
      <c r="BA213" s="1">
        <v>8.1000000238418607E-2</v>
      </c>
      <c r="BB213" s="1">
        <v>0.19499999284744299</v>
      </c>
      <c r="BC213" s="1">
        <v>3.1029024000000001</v>
      </c>
      <c r="BD213" s="2">
        <v>77.621056034798997</v>
      </c>
      <c r="BE213" s="2">
        <f t="shared" si="6"/>
        <v>4.1654885277719984</v>
      </c>
      <c r="BF213" s="2">
        <f t="shared" si="7"/>
        <v>5.670759438858755</v>
      </c>
      <c r="BG213">
        <v>9180</v>
      </c>
      <c r="BH213" s="3">
        <v>1352</v>
      </c>
      <c r="BI213">
        <v>17.271333673990803</v>
      </c>
      <c r="BJ213" s="3">
        <v>1938</v>
      </c>
      <c r="BK213">
        <v>282</v>
      </c>
      <c r="BL213">
        <v>17.028985507246375</v>
      </c>
      <c r="BM213" s="3">
        <v>1455.31</v>
      </c>
      <c r="BN213">
        <v>1187.8799999999999</v>
      </c>
      <c r="BO213">
        <v>444.1835246606588</v>
      </c>
      <c r="BP213">
        <v>4094689359.3439798</v>
      </c>
      <c r="BQ213">
        <v>234324224.53877974</v>
      </c>
      <c r="BR213">
        <v>6.0700015764338859</v>
      </c>
      <c r="BS213">
        <v>9.8542999999999999E-3</v>
      </c>
      <c r="BT213">
        <v>1.018929</v>
      </c>
      <c r="BU213">
        <v>4.2571489299359397</v>
      </c>
    </row>
    <row r="214" spans="1:73" x14ac:dyDescent="0.2">
      <c r="A214">
        <v>408</v>
      </c>
      <c r="B214" t="s">
        <v>77</v>
      </c>
      <c r="C214">
        <v>2008</v>
      </c>
      <c r="D214">
        <v>8</v>
      </c>
      <c r="E214">
        <v>0</v>
      </c>
      <c r="F214" t="s">
        <v>78</v>
      </c>
      <c r="G214">
        <v>0.75756000000000001</v>
      </c>
      <c r="H214">
        <v>0</v>
      </c>
      <c r="I214">
        <v>10.595000000000001</v>
      </c>
      <c r="J214">
        <v>10.813000000000001</v>
      </c>
      <c r="K214">
        <v>7.2329999999999997</v>
      </c>
      <c r="L214">
        <v>7.3070000000000004</v>
      </c>
      <c r="M214">
        <v>2.9990000000000001</v>
      </c>
      <c r="N214">
        <v>3.0739999999999998</v>
      </c>
      <c r="O214">
        <v>0.92600000000000005</v>
      </c>
      <c r="P214">
        <v>4.8079999999999998</v>
      </c>
      <c r="Q214">
        <v>0</v>
      </c>
      <c r="R214">
        <v>7312.7</v>
      </c>
      <c r="S214">
        <v>2.137</v>
      </c>
      <c r="T214">
        <v>6.71</v>
      </c>
      <c r="U214">
        <v>5.88</v>
      </c>
      <c r="V214">
        <v>46.9</v>
      </c>
      <c r="W214" t="s">
        <v>54</v>
      </c>
      <c r="X214" t="s">
        <v>55</v>
      </c>
      <c r="Y214" t="s">
        <v>59</v>
      </c>
      <c r="Z214">
        <v>0.37</v>
      </c>
      <c r="AA214">
        <v>0.56899999999999995</v>
      </c>
      <c r="AB214">
        <v>84</v>
      </c>
      <c r="AC214">
        <v>8.24</v>
      </c>
      <c r="AD214">
        <v>48.426940000000002</v>
      </c>
      <c r="AE214">
        <v>-89.207300000000004</v>
      </c>
      <c r="AF214">
        <v>13.7034</v>
      </c>
      <c r="AG214" t="s">
        <v>63</v>
      </c>
      <c r="AH214" t="s">
        <v>58</v>
      </c>
      <c r="AI214">
        <v>3364.1</v>
      </c>
      <c r="AJ214">
        <v>2.1266989999999999</v>
      </c>
      <c r="AK214">
        <v>20600000000</v>
      </c>
      <c r="AL214">
        <v>51.054870000000001</v>
      </c>
      <c r="AM214">
        <v>48.426940000000002</v>
      </c>
      <c r="AN214">
        <v>-8.5182599999999997</v>
      </c>
      <c r="AO214">
        <v>65.864729999999994</v>
      </c>
      <c r="AP214">
        <v>80.665980000000005</v>
      </c>
      <c r="AQ214">
        <v>5.0206010000000001</v>
      </c>
      <c r="AR214">
        <v>14.710710000000001</v>
      </c>
      <c r="AS214">
        <v>0.26699450000000002</v>
      </c>
      <c r="AT214">
        <v>1.903599</v>
      </c>
      <c r="AU214">
        <v>0.85747600000000002</v>
      </c>
      <c r="AV214">
        <v>1.903599</v>
      </c>
      <c r="AW214">
        <v>23.74991</v>
      </c>
      <c r="AX214">
        <v>2.13</v>
      </c>
      <c r="AY214">
        <v>3.3587422582182</v>
      </c>
      <c r="AZ214" s="1">
        <v>0.11399999260902401</v>
      </c>
      <c r="BA214" s="1">
        <v>8.1000000238418607E-2</v>
      </c>
      <c r="BB214" s="1">
        <v>0.19499999284744299</v>
      </c>
      <c r="BC214" s="1">
        <v>3.1029024000000001</v>
      </c>
      <c r="BD214" s="2">
        <v>80.665973939908</v>
      </c>
      <c r="BE214" s="2">
        <f t="shared" si="6"/>
        <v>3.0449179051090027</v>
      </c>
      <c r="BF214" s="2">
        <f t="shared" si="7"/>
        <v>3.9227988649676551</v>
      </c>
      <c r="BG214">
        <v>9080</v>
      </c>
      <c r="BH214" s="3">
        <v>100</v>
      </c>
      <c r="BI214">
        <v>1.0893246187363834</v>
      </c>
      <c r="BJ214" s="3">
        <v>1956</v>
      </c>
      <c r="BK214">
        <v>18</v>
      </c>
      <c r="BL214">
        <v>0.92879256965944268</v>
      </c>
      <c r="BM214" s="3">
        <v>823.62</v>
      </c>
      <c r="BN214">
        <v>631.68999999999994</v>
      </c>
      <c r="BO214">
        <v>43.405872288378418</v>
      </c>
      <c r="BP214">
        <v>3999283061.6896801</v>
      </c>
      <c r="BQ214">
        <v>95406297.654299736</v>
      </c>
      <c r="BR214">
        <v>2.3300008689690936</v>
      </c>
      <c r="BS214">
        <v>0.36651129999999998</v>
      </c>
      <c r="BT214">
        <v>2.935489</v>
      </c>
      <c r="BU214">
        <v>1.3216597834974499</v>
      </c>
    </row>
    <row r="215" spans="1:73" x14ac:dyDescent="0.2">
      <c r="A215">
        <v>409</v>
      </c>
      <c r="B215" t="s">
        <v>77</v>
      </c>
      <c r="C215">
        <v>2009</v>
      </c>
      <c r="D215">
        <v>8</v>
      </c>
      <c r="E215">
        <v>1</v>
      </c>
      <c r="F215" t="s">
        <v>78</v>
      </c>
      <c r="G215">
        <v>0.75756000000000001</v>
      </c>
      <c r="H215">
        <v>1</v>
      </c>
      <c r="I215">
        <v>8.3870000000000005</v>
      </c>
      <c r="J215">
        <v>8.3369999999999997</v>
      </c>
      <c r="K215">
        <v>6.4349999999999996</v>
      </c>
      <c r="L215">
        <v>6.4169999999999998</v>
      </c>
      <c r="M215">
        <v>2.7120000000000002</v>
      </c>
      <c r="N215">
        <v>2.7250000000000001</v>
      </c>
      <c r="O215">
        <v>0.92600000000000005</v>
      </c>
      <c r="P215">
        <v>5.1340000000000003</v>
      </c>
      <c r="Q215">
        <v>1</v>
      </c>
      <c r="R215">
        <v>7166.2</v>
      </c>
      <c r="S215">
        <v>-2.4980000000000002</v>
      </c>
      <c r="T215">
        <v>1.06</v>
      </c>
      <c r="U215">
        <v>7.33</v>
      </c>
      <c r="V215">
        <v>45.8</v>
      </c>
      <c r="W215" t="s">
        <v>54</v>
      </c>
      <c r="X215" t="s">
        <v>55</v>
      </c>
      <c r="Y215" t="s">
        <v>59</v>
      </c>
      <c r="Z215">
        <v>0.40100000000000002</v>
      </c>
      <c r="AA215">
        <v>0.59599999999999997</v>
      </c>
      <c r="AB215">
        <v>84</v>
      </c>
      <c r="AC215">
        <v>8.24</v>
      </c>
      <c r="AD215">
        <v>58.146920000000001</v>
      </c>
      <c r="AE215">
        <v>-89.207300000000004</v>
      </c>
      <c r="AF215">
        <v>13.7034</v>
      </c>
      <c r="AG215" t="s">
        <v>63</v>
      </c>
      <c r="AH215" t="s">
        <v>58</v>
      </c>
      <c r="AI215">
        <v>3280.0210000000002</v>
      </c>
      <c r="AJ215">
        <v>-2.0873240000000002</v>
      </c>
      <c r="AK215">
        <v>20200000000</v>
      </c>
      <c r="AL215">
        <v>50.003120000000003</v>
      </c>
      <c r="AM215">
        <v>58.146920000000001</v>
      </c>
      <c r="AN215">
        <v>-1.7736799999999999</v>
      </c>
      <c r="AO215">
        <v>64.560779999999994</v>
      </c>
      <c r="AP215">
        <v>66.071190000000001</v>
      </c>
      <c r="AQ215">
        <v>2.0948639999999998</v>
      </c>
      <c r="AR215">
        <v>16.101700000000001</v>
      </c>
      <c r="AS215">
        <v>4.2140230000000001</v>
      </c>
      <c r="AT215">
        <v>5.8268899999999998E-2</v>
      </c>
      <c r="AU215">
        <v>0.85747600000000002</v>
      </c>
      <c r="AV215">
        <v>5.8268899999999998E-2</v>
      </c>
      <c r="AW215">
        <v>23.728819999999999</v>
      </c>
      <c r="AX215">
        <v>5.65</v>
      </c>
      <c r="AY215">
        <v>3.3587422582182</v>
      </c>
      <c r="AZ215" s="1">
        <v>5.4999999701976802E-3</v>
      </c>
      <c r="BA215" s="1">
        <v>3.7500001490116099E-2</v>
      </c>
      <c r="BB215" s="1">
        <v>4.3000001460313797E-2</v>
      </c>
      <c r="BC215" s="1">
        <v>2.9449081000000001</v>
      </c>
      <c r="BD215" s="2">
        <v>66.071191174448998</v>
      </c>
      <c r="BE215" s="2">
        <f t="shared" si="6"/>
        <v>14.594782765459001</v>
      </c>
      <c r="BF215" s="2">
        <f t="shared" si="7"/>
        <v>18.092861280434505</v>
      </c>
      <c r="BG215">
        <v>9342</v>
      </c>
      <c r="BH215" s="3">
        <v>262</v>
      </c>
      <c r="BI215">
        <v>2.8854625550660793</v>
      </c>
      <c r="BJ215" s="3">
        <v>2313</v>
      </c>
      <c r="BK215">
        <v>357</v>
      </c>
      <c r="BL215">
        <v>18.25153374233129</v>
      </c>
      <c r="BM215" s="3">
        <v>365.77</v>
      </c>
      <c r="BN215">
        <v>457.85</v>
      </c>
      <c r="BO215">
        <v>55.589956533352762</v>
      </c>
      <c r="BP215">
        <v>3341800952.5313001</v>
      </c>
      <c r="BQ215">
        <v>657482109.15838003</v>
      </c>
      <c r="BR215">
        <v>16.439999345297572</v>
      </c>
      <c r="BS215">
        <v>1.3909849999999999</v>
      </c>
      <c r="BT215">
        <v>2.71713</v>
      </c>
      <c r="BU215">
        <v>-1.3954706558224199</v>
      </c>
    </row>
    <row r="216" spans="1:73" x14ac:dyDescent="0.2">
      <c r="A216">
        <v>410</v>
      </c>
      <c r="B216" t="s">
        <v>77</v>
      </c>
      <c r="C216">
        <v>2010</v>
      </c>
      <c r="D216">
        <v>8</v>
      </c>
      <c r="E216">
        <v>0</v>
      </c>
      <c r="F216" t="s">
        <v>78</v>
      </c>
      <c r="G216">
        <v>0.75756000000000001</v>
      </c>
      <c r="H216">
        <v>1</v>
      </c>
      <c r="I216">
        <v>8.3870000000000005</v>
      </c>
      <c r="J216">
        <v>8.3369999999999997</v>
      </c>
      <c r="K216">
        <v>6.4349999999999996</v>
      </c>
      <c r="L216">
        <v>6.4169999999999998</v>
      </c>
      <c r="M216">
        <v>2.7120000000000002</v>
      </c>
      <c r="N216">
        <v>2.7250000000000001</v>
      </c>
      <c r="O216">
        <v>0.84799999999999998</v>
      </c>
      <c r="P216">
        <v>4.399</v>
      </c>
      <c r="Q216">
        <v>0</v>
      </c>
      <c r="R216">
        <v>7351.1</v>
      </c>
      <c r="S216">
        <v>1.673</v>
      </c>
      <c r="T216">
        <v>1.18</v>
      </c>
      <c r="U216">
        <v>4.8899999999999997</v>
      </c>
      <c r="V216">
        <v>43.5</v>
      </c>
      <c r="W216" t="s">
        <v>54</v>
      </c>
      <c r="X216" t="s">
        <v>55</v>
      </c>
      <c r="Y216" t="s">
        <v>59</v>
      </c>
      <c r="Z216">
        <v>0.42799999999999999</v>
      </c>
      <c r="AA216">
        <v>0.62</v>
      </c>
      <c r="AB216">
        <v>84</v>
      </c>
      <c r="AC216">
        <v>8.24</v>
      </c>
      <c r="AD216">
        <v>57.494289999999999</v>
      </c>
      <c r="AE216">
        <v>-89.207300000000004</v>
      </c>
      <c r="AF216">
        <v>13.7034</v>
      </c>
      <c r="AG216" t="s">
        <v>63</v>
      </c>
      <c r="AH216" t="s">
        <v>58</v>
      </c>
      <c r="AI216">
        <v>3334.933</v>
      </c>
      <c r="AJ216">
        <v>2.1067420000000001</v>
      </c>
      <c r="AK216">
        <v>20600000000</v>
      </c>
      <c r="AL216">
        <v>47.913119999999999</v>
      </c>
      <c r="AM216">
        <v>57.494289999999999</v>
      </c>
      <c r="AN216">
        <v>-2.8882159999999999</v>
      </c>
      <c r="AO216">
        <v>63.169400000000003</v>
      </c>
      <c r="AP216">
        <v>73.537279999999996</v>
      </c>
      <c r="AQ216">
        <v>-0.61340620000000001</v>
      </c>
      <c r="AR216">
        <v>15.71158</v>
      </c>
      <c r="AS216">
        <v>4.1940660000000003</v>
      </c>
      <c r="AT216">
        <v>0.16551440000000001</v>
      </c>
      <c r="AU216">
        <v>0.71910399999999997</v>
      </c>
      <c r="AV216">
        <v>0.16551440000000001</v>
      </c>
      <c r="AW216">
        <v>23.749659999999999</v>
      </c>
      <c r="AX216">
        <v>0.12</v>
      </c>
      <c r="AY216">
        <v>3.2968080038113401</v>
      </c>
      <c r="AZ216" s="1">
        <v>5.4999999701976802E-3</v>
      </c>
      <c r="BA216" s="1">
        <v>3.7500001490116099E-2</v>
      </c>
      <c r="BB216" s="1">
        <v>4.3000001460313797E-2</v>
      </c>
      <c r="BC216" s="1">
        <v>2.9449081000000001</v>
      </c>
      <c r="BD216" s="2">
        <v>73.537287672540003</v>
      </c>
      <c r="BE216" s="2">
        <f t="shared" si="6"/>
        <v>7.4660964980910052</v>
      </c>
      <c r="BF216" s="2">
        <f t="shared" si="7"/>
        <v>11.300078544638513</v>
      </c>
      <c r="BG216">
        <v>9744</v>
      </c>
      <c r="BH216" s="3">
        <v>402</v>
      </c>
      <c r="BI216">
        <v>4.3031470777135521</v>
      </c>
      <c r="BJ216" s="3">
        <v>2642</v>
      </c>
      <c r="BK216">
        <v>329</v>
      </c>
      <c r="BL216">
        <v>14.22395157803718</v>
      </c>
      <c r="BM216" s="3">
        <v>-225.56</v>
      </c>
      <c r="BN216">
        <v>591.32999999999993</v>
      </c>
      <c r="BO216">
        <v>161.66716789239138</v>
      </c>
      <c r="BP216">
        <v>2986233273.3232298</v>
      </c>
      <c r="BQ216">
        <v>355567679.20807028</v>
      </c>
      <c r="BR216">
        <v>10.640001731364039</v>
      </c>
      <c r="BS216">
        <v>0.39011859999999998</v>
      </c>
      <c r="BT216">
        <v>2.407365</v>
      </c>
      <c r="BU216">
        <v>1.0118948603419</v>
      </c>
    </row>
    <row r="217" spans="1:73" x14ac:dyDescent="0.2">
      <c r="A217">
        <v>411</v>
      </c>
      <c r="B217" t="s">
        <v>77</v>
      </c>
      <c r="C217">
        <v>2011</v>
      </c>
      <c r="D217">
        <v>8</v>
      </c>
      <c r="E217">
        <v>0</v>
      </c>
      <c r="F217" t="s">
        <v>78</v>
      </c>
      <c r="G217">
        <v>0.75756000000000001</v>
      </c>
      <c r="H217">
        <v>0</v>
      </c>
      <c r="I217">
        <v>8.3870000000000005</v>
      </c>
      <c r="J217">
        <v>8.3369999999999997</v>
      </c>
      <c r="K217">
        <v>6.4349999999999996</v>
      </c>
      <c r="L217">
        <v>6.4169999999999998</v>
      </c>
      <c r="M217">
        <v>2.7120000000000002</v>
      </c>
      <c r="N217">
        <v>2.7250000000000001</v>
      </c>
      <c r="O217">
        <v>0.84799999999999998</v>
      </c>
      <c r="P217">
        <v>5.266</v>
      </c>
      <c r="Q217">
        <v>0</v>
      </c>
      <c r="R217">
        <v>7607</v>
      </c>
      <c r="S217">
        <v>3.3690000000000002</v>
      </c>
      <c r="T217">
        <v>5.13</v>
      </c>
      <c r="U217">
        <v>4.3</v>
      </c>
      <c r="V217">
        <v>42.3</v>
      </c>
      <c r="W217" t="s">
        <v>54</v>
      </c>
      <c r="X217" t="s">
        <v>55</v>
      </c>
      <c r="Y217" t="s">
        <v>59</v>
      </c>
      <c r="Z217">
        <v>0.43</v>
      </c>
      <c r="AA217">
        <v>0.62</v>
      </c>
      <c r="AB217">
        <v>84</v>
      </c>
      <c r="AC217">
        <v>8.24</v>
      </c>
      <c r="AD217">
        <v>54.562570000000001</v>
      </c>
      <c r="AE217">
        <v>-89.207300000000004</v>
      </c>
      <c r="AF217">
        <v>13.7034</v>
      </c>
      <c r="AG217" t="s">
        <v>63</v>
      </c>
      <c r="AH217" t="s">
        <v>58</v>
      </c>
      <c r="AI217">
        <v>3447.35</v>
      </c>
      <c r="AJ217">
        <v>3.817056</v>
      </c>
      <c r="AK217">
        <v>21400000000</v>
      </c>
      <c r="AL217">
        <v>45.824309999999997</v>
      </c>
      <c r="AM217">
        <v>54.562570000000001</v>
      </c>
      <c r="AN217">
        <v>-5.481052</v>
      </c>
      <c r="AO217">
        <v>61.777329999999999</v>
      </c>
      <c r="AP217">
        <v>79.27664</v>
      </c>
      <c r="AQ217">
        <v>0.60393079999999999</v>
      </c>
      <c r="AR217">
        <v>15.755890000000001</v>
      </c>
      <c r="AS217">
        <v>1.710315</v>
      </c>
      <c r="AT217">
        <v>1.6351059999999999</v>
      </c>
      <c r="AU217">
        <v>0.71910399999999997</v>
      </c>
      <c r="AV217">
        <v>1.6351059999999999</v>
      </c>
      <c r="AW217">
        <v>23.787120000000002</v>
      </c>
      <c r="AX217">
        <v>3.95</v>
      </c>
      <c r="AY217">
        <v>3.2968080038113401</v>
      </c>
      <c r="AZ217" s="1">
        <v>5.4999999701976802E-3</v>
      </c>
      <c r="BA217" s="1">
        <v>3.7500001490116099E-2</v>
      </c>
      <c r="BB217" s="1">
        <v>4.3000001460313797E-2</v>
      </c>
      <c r="BC217" s="1">
        <v>2.9449081000000001</v>
      </c>
      <c r="BD217" s="2">
        <v>79.276643702504998</v>
      </c>
      <c r="BE217" s="2">
        <f t="shared" si="6"/>
        <v>5.7393560299649948</v>
      </c>
      <c r="BF217" s="2">
        <f t="shared" si="7"/>
        <v>7.8046882222828593</v>
      </c>
      <c r="BG217">
        <v>9697</v>
      </c>
      <c r="BH217" s="3">
        <v>47</v>
      </c>
      <c r="BI217">
        <v>0.48234811165845648</v>
      </c>
      <c r="BJ217" s="3">
        <v>2781</v>
      </c>
      <c r="BK217">
        <v>139</v>
      </c>
      <c r="BL217">
        <v>5.2611657834973506</v>
      </c>
      <c r="BM217" s="3">
        <v>218.43</v>
      </c>
      <c r="BN217">
        <v>443.99</v>
      </c>
      <c r="BO217">
        <v>-196.83897854229474</v>
      </c>
      <c r="BP217">
        <v>3307552039.6681299</v>
      </c>
      <c r="BQ217">
        <v>321318766.34490013</v>
      </c>
      <c r="BR217">
        <v>10.760002214673623</v>
      </c>
      <c r="BS217">
        <v>4.4308699999999999E-2</v>
      </c>
      <c r="BT217">
        <v>1.2739</v>
      </c>
      <c r="BU217">
        <v>2.2857951699789498</v>
      </c>
    </row>
    <row r="218" spans="1:73" x14ac:dyDescent="0.2">
      <c r="A218">
        <v>412</v>
      </c>
      <c r="B218" t="s">
        <v>77</v>
      </c>
      <c r="C218">
        <v>2012</v>
      </c>
      <c r="D218">
        <v>8</v>
      </c>
      <c r="E218">
        <v>1</v>
      </c>
      <c r="F218" t="s">
        <v>78</v>
      </c>
      <c r="G218">
        <v>0.75756000000000001</v>
      </c>
      <c r="H218">
        <v>0</v>
      </c>
      <c r="I218">
        <v>7.9550000000000001</v>
      </c>
      <c r="J218">
        <v>8.1069999999999993</v>
      </c>
      <c r="K218">
        <v>6.2679999999999998</v>
      </c>
      <c r="L218">
        <v>6.327</v>
      </c>
      <c r="M218">
        <v>2.621</v>
      </c>
      <c r="N218">
        <v>2.6880000000000002</v>
      </c>
      <c r="O218">
        <v>0.84799999999999998</v>
      </c>
      <c r="P218">
        <v>5.266</v>
      </c>
      <c r="Q218">
        <v>1</v>
      </c>
      <c r="R218">
        <v>7726</v>
      </c>
      <c r="S218">
        <v>2.3639999999999999</v>
      </c>
      <c r="T218">
        <v>1.73</v>
      </c>
      <c r="U218">
        <v>3.84</v>
      </c>
      <c r="V218">
        <v>41.8</v>
      </c>
      <c r="W218" t="s">
        <v>54</v>
      </c>
      <c r="X218" t="s">
        <v>55</v>
      </c>
      <c r="Y218" t="s">
        <v>59</v>
      </c>
      <c r="Z218">
        <v>0.438</v>
      </c>
      <c r="AA218">
        <v>0.625</v>
      </c>
      <c r="AB218">
        <v>84</v>
      </c>
      <c r="AC218">
        <v>8.24</v>
      </c>
      <c r="AE218">
        <v>-89.207300000000004</v>
      </c>
      <c r="AF218">
        <v>13.7034</v>
      </c>
      <c r="AG218" t="s">
        <v>63</v>
      </c>
      <c r="AH218" t="s">
        <v>58</v>
      </c>
      <c r="AI218">
        <v>3528.8670000000002</v>
      </c>
      <c r="AJ218">
        <v>2.8155019999999999</v>
      </c>
      <c r="AK218">
        <v>22000000000</v>
      </c>
      <c r="AL218">
        <v>45.290419999999997</v>
      </c>
      <c r="AN218">
        <v>-5.7972149999999996</v>
      </c>
      <c r="AO218">
        <v>60.253709999999998</v>
      </c>
      <c r="AP218">
        <v>77.648570000000007</v>
      </c>
      <c r="AQ218">
        <v>2.0112399999999999</v>
      </c>
      <c r="AR218">
        <v>15.757440000000001</v>
      </c>
      <c r="AS218">
        <v>1.0015540000000001</v>
      </c>
      <c r="AT218">
        <v>0.54812139999999998</v>
      </c>
      <c r="AU218">
        <v>0.71910399999999997</v>
      </c>
      <c r="AV218">
        <v>0.54812139999999998</v>
      </c>
      <c r="AW218">
        <v>23.814889999999998</v>
      </c>
      <c r="AX218">
        <v>3.4</v>
      </c>
      <c r="AY218">
        <v>3.2968080038113401</v>
      </c>
      <c r="AZ218" s="1">
        <v>0.19550000131130199</v>
      </c>
      <c r="BA218" s="1">
        <v>3.5500001162290601E-2</v>
      </c>
      <c r="BB218" s="1">
        <v>0.231000006198883</v>
      </c>
      <c r="BC218" s="1">
        <v>3.1927604999999999</v>
      </c>
      <c r="BD218" s="2">
        <v>77.648571622288003</v>
      </c>
      <c r="BE218" s="2">
        <f t="shared" si="6"/>
        <v>1.6280720802169952</v>
      </c>
      <c r="BF218" s="2">
        <f t="shared" si="7"/>
        <v>2.0536591916359739</v>
      </c>
      <c r="BG218">
        <v>9892</v>
      </c>
      <c r="BH218" s="3">
        <v>195</v>
      </c>
      <c r="BI218">
        <v>2.0109312158399506</v>
      </c>
      <c r="BJ218" s="3">
        <v>2796</v>
      </c>
      <c r="BK218">
        <v>15</v>
      </c>
      <c r="BL218">
        <v>0.53937432578209277</v>
      </c>
      <c r="BM218" s="3">
        <v>466.03</v>
      </c>
      <c r="BN218">
        <v>247.59999999999997</v>
      </c>
      <c r="BO218">
        <v>113.35439271162385</v>
      </c>
      <c r="BP218">
        <v>3400163443.0197201</v>
      </c>
      <c r="BQ218">
        <v>92611403.351590157</v>
      </c>
      <c r="BR218">
        <v>2.7999983746554298</v>
      </c>
      <c r="BS218">
        <v>1.5516E-3</v>
      </c>
      <c r="BT218">
        <v>1.125286</v>
      </c>
      <c r="BU218">
        <v>1.1605088896818501</v>
      </c>
    </row>
    <row r="219" spans="1:73" x14ac:dyDescent="0.2">
      <c r="A219">
        <v>413</v>
      </c>
      <c r="B219" t="s">
        <v>77</v>
      </c>
      <c r="C219">
        <v>2013</v>
      </c>
      <c r="D219">
        <v>8</v>
      </c>
      <c r="E219">
        <v>0</v>
      </c>
      <c r="F219" t="s">
        <v>78</v>
      </c>
      <c r="G219">
        <v>0.90829000000000004</v>
      </c>
      <c r="H219">
        <v>0</v>
      </c>
      <c r="I219">
        <v>7.9550000000000001</v>
      </c>
      <c r="J219">
        <v>8.1069999999999993</v>
      </c>
      <c r="K219">
        <v>6.2679999999999998</v>
      </c>
      <c r="L219">
        <v>6.327</v>
      </c>
      <c r="M219">
        <v>2.621</v>
      </c>
      <c r="N219">
        <v>2.6880000000000002</v>
      </c>
      <c r="O219">
        <v>0.84799999999999998</v>
      </c>
      <c r="P219">
        <v>4.5309999999999997</v>
      </c>
      <c r="Q219">
        <v>0</v>
      </c>
      <c r="R219">
        <v>7845</v>
      </c>
      <c r="S219">
        <v>1.776</v>
      </c>
      <c r="T219">
        <v>0.76</v>
      </c>
      <c r="U219">
        <v>3.69</v>
      </c>
      <c r="V219">
        <v>43.4</v>
      </c>
      <c r="W219" t="s">
        <v>54</v>
      </c>
      <c r="X219" t="s">
        <v>55</v>
      </c>
      <c r="Y219" t="s">
        <v>59</v>
      </c>
      <c r="Z219">
        <v>0.44900000000000001</v>
      </c>
      <c r="AA219">
        <v>0.63300000000000001</v>
      </c>
      <c r="AB219">
        <v>84</v>
      </c>
      <c r="AC219">
        <v>8.24</v>
      </c>
      <c r="AD219">
        <v>62.399279999999997</v>
      </c>
      <c r="AE219">
        <v>-89.207300000000004</v>
      </c>
      <c r="AF219">
        <v>13.7034</v>
      </c>
      <c r="AG219" t="s">
        <v>63</v>
      </c>
      <c r="AH219" t="s">
        <v>58</v>
      </c>
      <c r="AI219">
        <v>3591.4270000000001</v>
      </c>
      <c r="AJ219">
        <v>2.2321430000000002</v>
      </c>
      <c r="AK219">
        <v>22500000000</v>
      </c>
      <c r="AL219">
        <v>47.660449999999997</v>
      </c>
      <c r="AM219">
        <v>62.399279999999997</v>
      </c>
      <c r="AN219">
        <v>-6.9047470000000004</v>
      </c>
      <c r="AO219">
        <v>58.756010000000003</v>
      </c>
      <c r="AP219">
        <v>80.451189999999997</v>
      </c>
      <c r="AQ219">
        <v>1.1149089999999999</v>
      </c>
      <c r="AR219">
        <v>16.305879999999998</v>
      </c>
      <c r="AS219">
        <v>0.58335899999999996</v>
      </c>
      <c r="AT219">
        <v>-0.27443689999999998</v>
      </c>
      <c r="AU219">
        <v>0.71910399999999997</v>
      </c>
      <c r="AV219">
        <v>-0.27443689999999998</v>
      </c>
      <c r="AW219">
        <v>23.836970000000001</v>
      </c>
      <c r="AX219">
        <v>0.97</v>
      </c>
      <c r="AY219">
        <v>3.2968080038113401</v>
      </c>
      <c r="AZ219" s="1">
        <v>0.19550000131130199</v>
      </c>
      <c r="BA219" s="1">
        <v>3.5500001162290601E-2</v>
      </c>
      <c r="BB219" s="1">
        <v>0.231000006198883</v>
      </c>
      <c r="BC219" s="1">
        <v>3.1927604999999999</v>
      </c>
      <c r="BD219" s="2">
        <v>80.451194490827007</v>
      </c>
      <c r="BE219" s="2">
        <f t="shared" si="6"/>
        <v>2.8026228685390038</v>
      </c>
      <c r="BF219" s="2">
        <f t="shared" si="7"/>
        <v>3.6093682214426566</v>
      </c>
      <c r="BG219">
        <v>10223</v>
      </c>
      <c r="BH219" s="3">
        <v>331</v>
      </c>
      <c r="BI219">
        <v>3.3461382935705619</v>
      </c>
      <c r="BJ219" s="3">
        <v>2893</v>
      </c>
      <c r="BK219">
        <v>97</v>
      </c>
      <c r="BL219">
        <v>3.4692417739628039</v>
      </c>
      <c r="BM219" s="3">
        <v>179.11</v>
      </c>
      <c r="BN219">
        <v>286.91999999999996</v>
      </c>
      <c r="BO219">
        <v>61.566851919404328</v>
      </c>
      <c r="BP219">
        <v>3636134862.5816998</v>
      </c>
      <c r="BQ219">
        <v>235971419.56197977</v>
      </c>
      <c r="BR219">
        <v>6.9400022533155381</v>
      </c>
      <c r="BS219">
        <v>0.54844000000000004</v>
      </c>
      <c r="BT219">
        <v>0.72813369999999999</v>
      </c>
      <c r="BU219">
        <v>1.8886425805381599</v>
      </c>
    </row>
    <row r="220" spans="1:73" x14ac:dyDescent="0.2">
      <c r="A220">
        <v>414</v>
      </c>
      <c r="B220" t="s">
        <v>77</v>
      </c>
      <c r="C220">
        <v>2014</v>
      </c>
      <c r="D220">
        <v>8</v>
      </c>
      <c r="E220">
        <v>0</v>
      </c>
      <c r="F220" t="s">
        <v>78</v>
      </c>
      <c r="G220">
        <v>0.93642000000000003</v>
      </c>
      <c r="H220">
        <v>0</v>
      </c>
      <c r="I220">
        <v>7.9550000000000001</v>
      </c>
      <c r="J220">
        <v>8.1069999999999993</v>
      </c>
      <c r="K220">
        <v>6.2679999999999998</v>
      </c>
      <c r="L220">
        <v>6.327</v>
      </c>
      <c r="M220">
        <v>2.621</v>
      </c>
      <c r="N220">
        <v>2.6880000000000002</v>
      </c>
      <c r="O220">
        <v>0.84799999999999998</v>
      </c>
      <c r="P220">
        <v>4.5309999999999997</v>
      </c>
      <c r="Q220">
        <v>0</v>
      </c>
      <c r="R220">
        <v>7935</v>
      </c>
      <c r="S220">
        <v>1.242</v>
      </c>
      <c r="T220">
        <v>1.1399999999999999</v>
      </c>
      <c r="U220">
        <v>4.1500000000000004</v>
      </c>
      <c r="V220">
        <v>41.6</v>
      </c>
      <c r="W220" t="s">
        <v>54</v>
      </c>
      <c r="X220" t="s">
        <v>55</v>
      </c>
      <c r="Y220" t="s">
        <v>59</v>
      </c>
      <c r="Z220">
        <v>0.48499999999999999</v>
      </c>
      <c r="AA220">
        <v>0.68400000000000005</v>
      </c>
      <c r="AB220">
        <v>84</v>
      </c>
      <c r="AC220">
        <v>8.24</v>
      </c>
      <c r="AD220">
        <v>50.837960000000002</v>
      </c>
      <c r="AE220">
        <v>-89.207300000000004</v>
      </c>
      <c r="AF220">
        <v>13.7034</v>
      </c>
      <c r="AG220" t="s">
        <v>63</v>
      </c>
      <c r="AH220" t="s">
        <v>58</v>
      </c>
      <c r="AI220">
        <v>3636.01</v>
      </c>
      <c r="AJ220">
        <v>1.71071</v>
      </c>
      <c r="AK220">
        <v>22900000000</v>
      </c>
      <c r="AL220">
        <v>49.47663</v>
      </c>
      <c r="AM220">
        <v>50.837960000000002</v>
      </c>
      <c r="AN220">
        <v>-5.3713870000000004</v>
      </c>
      <c r="AO220">
        <v>57.496220000000001</v>
      </c>
      <c r="AP220">
        <v>78.104420000000005</v>
      </c>
      <c r="AQ220">
        <v>2.2408950000000001</v>
      </c>
      <c r="AR220">
        <v>15.95417</v>
      </c>
      <c r="AS220">
        <v>0.52143300000000004</v>
      </c>
      <c r="AT220">
        <v>0.13102820000000001</v>
      </c>
      <c r="AU220">
        <v>0.71910399999999997</v>
      </c>
      <c r="AV220">
        <v>0.13102820000000001</v>
      </c>
      <c r="AW220">
        <v>23.853929999999998</v>
      </c>
      <c r="AX220">
        <v>0.38</v>
      </c>
      <c r="AY220">
        <v>3.2968080038113401</v>
      </c>
      <c r="AZ220" s="1">
        <v>0.19550000131130199</v>
      </c>
      <c r="BA220" s="1">
        <v>3.5500001162290601E-2</v>
      </c>
      <c r="BB220" s="1">
        <v>0.231000006198883</v>
      </c>
      <c r="BC220" s="1">
        <v>3.1927604999999999</v>
      </c>
      <c r="BD220" s="2">
        <v>78.104425747793002</v>
      </c>
      <c r="BE220" s="2">
        <f t="shared" si="6"/>
        <v>2.346768743034005</v>
      </c>
      <c r="BF220" s="2">
        <f t="shared" si="7"/>
        <v>2.9170091977957915</v>
      </c>
      <c r="BG220">
        <v>10194</v>
      </c>
      <c r="BH220" s="3">
        <v>29</v>
      </c>
      <c r="BI220">
        <v>0.28367406827741365</v>
      </c>
      <c r="BJ220" s="3">
        <v>2925</v>
      </c>
      <c r="BK220">
        <v>32</v>
      </c>
      <c r="BL220">
        <v>1.1061182163843761</v>
      </c>
      <c r="BM220" s="3">
        <v>306.45</v>
      </c>
      <c r="BN220">
        <v>127.33999999999997</v>
      </c>
      <c r="BO220">
        <v>71.095974540784979</v>
      </c>
      <c r="BP220">
        <v>3373974821.2295699</v>
      </c>
      <c r="BQ220">
        <v>262160041.35212994</v>
      </c>
      <c r="BR220">
        <v>7.2098547292603206</v>
      </c>
      <c r="BS220">
        <v>0.35171409999999997</v>
      </c>
      <c r="BT220">
        <v>0.76526930000000004</v>
      </c>
      <c r="BU220">
        <v>2.6539119093622401</v>
      </c>
    </row>
    <row r="221" spans="1:73" x14ac:dyDescent="0.2">
      <c r="A221">
        <v>415</v>
      </c>
      <c r="B221" t="s">
        <v>77</v>
      </c>
      <c r="C221">
        <v>2015</v>
      </c>
      <c r="D221">
        <v>8</v>
      </c>
      <c r="E221">
        <v>1</v>
      </c>
      <c r="F221" t="s">
        <v>78</v>
      </c>
      <c r="G221">
        <v>0.96455000000000002</v>
      </c>
      <c r="H221">
        <v>0</v>
      </c>
      <c r="I221">
        <v>10.64</v>
      </c>
      <c r="J221">
        <v>10.917</v>
      </c>
      <c r="K221">
        <v>7.2489999999999997</v>
      </c>
      <c r="L221">
        <v>7.343</v>
      </c>
      <c r="M221">
        <v>3.0329999999999999</v>
      </c>
      <c r="N221">
        <v>3.1240000000000001</v>
      </c>
      <c r="O221">
        <v>0.78</v>
      </c>
      <c r="P221">
        <v>5.6420000000000003</v>
      </c>
      <c r="Q221">
        <v>1</v>
      </c>
      <c r="R221">
        <v>8109</v>
      </c>
      <c r="S221">
        <v>1.909</v>
      </c>
      <c r="T221">
        <v>-0.73</v>
      </c>
      <c r="U221">
        <v>4</v>
      </c>
      <c r="V221">
        <v>40.6</v>
      </c>
      <c r="W221" t="s">
        <v>54</v>
      </c>
      <c r="X221" t="s">
        <v>55</v>
      </c>
      <c r="Y221" t="s">
        <v>59</v>
      </c>
      <c r="Z221">
        <v>0.47299999999999998</v>
      </c>
      <c r="AA221">
        <v>0.66800000000000004</v>
      </c>
      <c r="AB221">
        <v>84</v>
      </c>
      <c r="AC221">
        <v>8.24</v>
      </c>
      <c r="AD221">
        <v>51.278399999999998</v>
      </c>
      <c r="AE221">
        <v>-89.207300000000004</v>
      </c>
      <c r="AF221">
        <v>13.7034</v>
      </c>
      <c r="AG221" t="s">
        <v>63</v>
      </c>
      <c r="AH221" t="s">
        <v>58</v>
      </c>
      <c r="AI221">
        <v>3705.58</v>
      </c>
      <c r="AJ221">
        <v>2.3989729999999998</v>
      </c>
      <c r="AK221">
        <v>23400000000</v>
      </c>
      <c r="AL221">
        <v>50.182290000000002</v>
      </c>
      <c r="AM221">
        <v>51.278399999999998</v>
      </c>
      <c r="AN221">
        <v>-3.215929</v>
      </c>
      <c r="AO221">
        <v>56.563450000000003</v>
      </c>
      <c r="AP221">
        <v>76.560270000000003</v>
      </c>
      <c r="AQ221">
        <v>2.1099779999999999</v>
      </c>
      <c r="AR221">
        <v>16.497440000000001</v>
      </c>
      <c r="AS221">
        <v>0.68826330000000002</v>
      </c>
      <c r="AU221">
        <v>0.60839989999999999</v>
      </c>
      <c r="AW221">
        <v>23.87763</v>
      </c>
      <c r="AX221">
        <v>1.87</v>
      </c>
      <c r="AY221">
        <v>3.2428140384309998</v>
      </c>
      <c r="AZ221" s="1">
        <v>0.12399999797344199</v>
      </c>
      <c r="BA221" s="1">
        <v>1.15000000223517E-2</v>
      </c>
      <c r="BB221" s="1">
        <v>0.13549999892711601</v>
      </c>
      <c r="BC221" s="1">
        <v>3.0102391000000002</v>
      </c>
      <c r="BD221" s="2">
        <v>76.560270737051994</v>
      </c>
      <c r="BE221" s="2">
        <f t="shared" si="6"/>
        <v>1.544155010741008</v>
      </c>
      <c r="BF221" s="2">
        <f t="shared" si="7"/>
        <v>1.9770390678336704</v>
      </c>
      <c r="BG221">
        <v>10875</v>
      </c>
      <c r="BH221" s="3">
        <v>681</v>
      </c>
      <c r="BI221">
        <v>6.6804002354326073</v>
      </c>
      <c r="BJ221" s="3">
        <v>3260</v>
      </c>
      <c r="BK221">
        <v>335</v>
      </c>
      <c r="BL221">
        <v>11.452991452991453</v>
      </c>
      <c r="BM221" s="3">
        <v>396.35</v>
      </c>
      <c r="BN221">
        <v>89.900000000000034</v>
      </c>
      <c r="BO221">
        <v>29.335943873388821</v>
      </c>
      <c r="BP221">
        <v>3677970000</v>
      </c>
      <c r="BQ221">
        <v>303995178.77043009</v>
      </c>
      <c r="BR221">
        <v>9.0100014042086354</v>
      </c>
      <c r="BS221">
        <v>0.54327490000000001</v>
      </c>
      <c r="BT221">
        <v>0.30761670000000002</v>
      </c>
      <c r="BU221">
        <v>2.3462951462233801</v>
      </c>
    </row>
    <row r="222" spans="1:73" x14ac:dyDescent="0.2">
      <c r="A222">
        <v>416</v>
      </c>
      <c r="B222" t="s">
        <v>77</v>
      </c>
      <c r="C222">
        <v>2016</v>
      </c>
      <c r="D222">
        <v>8</v>
      </c>
      <c r="E222">
        <v>0</v>
      </c>
      <c r="F222" t="s">
        <v>78</v>
      </c>
      <c r="G222">
        <v>0.99268000000000001</v>
      </c>
      <c r="H222">
        <v>0</v>
      </c>
      <c r="I222">
        <v>10.64</v>
      </c>
      <c r="J222">
        <v>10.917</v>
      </c>
      <c r="K222">
        <v>7.2489999999999997</v>
      </c>
      <c r="L222">
        <v>7.343</v>
      </c>
      <c r="M222">
        <v>3.0329999999999999</v>
      </c>
      <c r="N222">
        <v>3.1240000000000001</v>
      </c>
      <c r="O222">
        <v>0.78</v>
      </c>
      <c r="P222">
        <v>6.2249999999999996</v>
      </c>
      <c r="Q222">
        <v>0</v>
      </c>
      <c r="R222">
        <v>8280</v>
      </c>
      <c r="S222">
        <v>2.0459999999999998</v>
      </c>
      <c r="T222">
        <v>0.6</v>
      </c>
      <c r="U222">
        <v>4.42</v>
      </c>
      <c r="V222">
        <v>40</v>
      </c>
      <c r="W222" t="s">
        <v>54</v>
      </c>
      <c r="X222" t="s">
        <v>55</v>
      </c>
      <c r="Y222" t="s">
        <v>59</v>
      </c>
      <c r="Z222">
        <v>0.48</v>
      </c>
      <c r="AA222">
        <v>0.67</v>
      </c>
      <c r="AB222">
        <v>84</v>
      </c>
      <c r="AC222">
        <v>8.24</v>
      </c>
      <c r="AD222">
        <v>52.065649999999998</v>
      </c>
      <c r="AE222">
        <v>-89.207300000000004</v>
      </c>
      <c r="AF222">
        <v>13.7034</v>
      </c>
      <c r="AG222" t="s">
        <v>63</v>
      </c>
      <c r="AH222" t="s">
        <v>58</v>
      </c>
      <c r="AI222">
        <v>3781.3789999999999</v>
      </c>
      <c r="AJ222">
        <v>2.5459260000000001</v>
      </c>
      <c r="AK222">
        <v>24000000000</v>
      </c>
      <c r="AL222">
        <v>51.150039999999997</v>
      </c>
      <c r="AM222">
        <v>52.065649999999998</v>
      </c>
      <c r="AN222">
        <v>-2.2740330000000002</v>
      </c>
      <c r="AO222">
        <v>55.710039999999999</v>
      </c>
      <c r="AP222">
        <v>72.819090000000003</v>
      </c>
      <c r="AQ222">
        <v>1.9819800000000001</v>
      </c>
      <c r="AR222">
        <v>16.31644</v>
      </c>
      <c r="AS222">
        <v>0.1469529</v>
      </c>
      <c r="AT222">
        <v>-0.51082559999999999</v>
      </c>
      <c r="AU222">
        <v>0.60839989999999999</v>
      </c>
      <c r="AV222">
        <v>-0.51082559999999999</v>
      </c>
      <c r="AW222">
        <v>23.90277</v>
      </c>
      <c r="AX222">
        <v>1.33</v>
      </c>
      <c r="AY222">
        <v>3.2428140384309998</v>
      </c>
      <c r="AZ222" s="1">
        <v>0.12399999797344199</v>
      </c>
      <c r="BA222" s="1">
        <v>1.15000000223517E-2</v>
      </c>
      <c r="BB222" s="1">
        <v>0.13549999892711601</v>
      </c>
      <c r="BC222" s="1">
        <v>3.0102391000000002</v>
      </c>
      <c r="BD222" s="2">
        <v>72.819093373149002</v>
      </c>
      <c r="BE222" s="2">
        <f t="shared" si="6"/>
        <v>3.7411773639029917</v>
      </c>
      <c r="BF222" s="2">
        <f t="shared" si="7"/>
        <v>4.8865780226302373</v>
      </c>
      <c r="BG222">
        <v>11254</v>
      </c>
      <c r="BH222" s="3">
        <v>379</v>
      </c>
      <c r="BI222">
        <v>3.4850574712643678</v>
      </c>
      <c r="BJ222" s="3">
        <v>3135</v>
      </c>
      <c r="BK222">
        <v>125</v>
      </c>
      <c r="BL222">
        <v>3.834355828220859</v>
      </c>
      <c r="BM222" s="3">
        <v>347.86</v>
      </c>
      <c r="BN222">
        <v>48.490000000000009</v>
      </c>
      <c r="BO222">
        <v>12.234136495521636</v>
      </c>
      <c r="BP222">
        <v>3810904517.0687199</v>
      </c>
      <c r="BQ222">
        <v>132934517.06871986</v>
      </c>
      <c r="BR222">
        <v>3.6143447898900716</v>
      </c>
      <c r="BS222">
        <v>0.18100359999999999</v>
      </c>
      <c r="BT222">
        <v>1.3569290000000001</v>
      </c>
      <c r="BU222">
        <v>0.98936574939649802</v>
      </c>
    </row>
    <row r="223" spans="1:73" x14ac:dyDescent="0.2">
      <c r="A223">
        <v>417</v>
      </c>
      <c r="B223" t="s">
        <v>77</v>
      </c>
      <c r="C223">
        <v>2017</v>
      </c>
      <c r="D223">
        <v>8</v>
      </c>
      <c r="E223">
        <v>0</v>
      </c>
      <c r="F223" t="s">
        <v>78</v>
      </c>
      <c r="G223">
        <v>1.0207999999999999</v>
      </c>
      <c r="H223">
        <v>0</v>
      </c>
      <c r="I223">
        <v>10.64</v>
      </c>
      <c r="J223">
        <v>10.917</v>
      </c>
      <c r="K223">
        <v>7.2489999999999997</v>
      </c>
      <c r="L223">
        <v>7.343</v>
      </c>
      <c r="M223">
        <v>3.0329999999999999</v>
      </c>
      <c r="N223">
        <v>3.1240000000000001</v>
      </c>
      <c r="O223">
        <v>0.78</v>
      </c>
      <c r="P223">
        <v>4.9219999999999997</v>
      </c>
      <c r="Q223">
        <v>0</v>
      </c>
      <c r="R223">
        <v>8428</v>
      </c>
      <c r="S223">
        <v>1.738</v>
      </c>
      <c r="T223">
        <v>1.01</v>
      </c>
      <c r="U223">
        <v>4.3899999999999997</v>
      </c>
      <c r="V223">
        <v>38</v>
      </c>
      <c r="W223" t="s">
        <v>54</v>
      </c>
      <c r="X223" t="s">
        <v>55</v>
      </c>
      <c r="Y223" t="s">
        <v>59</v>
      </c>
      <c r="Z223">
        <v>0.48199999999999998</v>
      </c>
      <c r="AA223">
        <v>0.68300000000000005</v>
      </c>
      <c r="AB223">
        <v>84</v>
      </c>
      <c r="AC223">
        <v>8.24</v>
      </c>
      <c r="AE223">
        <v>-89.207300000000004</v>
      </c>
      <c r="AF223">
        <v>13.7034</v>
      </c>
      <c r="AG223" t="s">
        <v>63</v>
      </c>
      <c r="AH223" t="s">
        <v>58</v>
      </c>
      <c r="AI223">
        <v>3846.9740000000002</v>
      </c>
      <c r="AJ223">
        <v>2.2466699999999999</v>
      </c>
      <c r="AK223">
        <v>24600000000</v>
      </c>
      <c r="AL223">
        <v>52.16339</v>
      </c>
      <c r="AN223">
        <v>-1.859907</v>
      </c>
      <c r="AO223">
        <v>55.159829999999999</v>
      </c>
      <c r="AP223">
        <v>74.304649999999995</v>
      </c>
      <c r="AQ223">
        <v>2.0168849999999998</v>
      </c>
      <c r="AR223">
        <v>16.133109999999999</v>
      </c>
      <c r="AS223">
        <v>0.29925610000000002</v>
      </c>
      <c r="AT223">
        <v>9.9503000000000005E-3</v>
      </c>
      <c r="AU223">
        <v>0.60839989999999999</v>
      </c>
      <c r="AV223">
        <v>9.9503000000000005E-3</v>
      </c>
      <c r="AW223">
        <v>23.924990000000001</v>
      </c>
      <c r="AX223">
        <v>0.41</v>
      </c>
      <c r="AY223">
        <v>3.2428140384309998</v>
      </c>
      <c r="AZ223" s="1">
        <v>0.12399999797344199</v>
      </c>
      <c r="BA223" s="1">
        <v>1.15000000223517E-2</v>
      </c>
      <c r="BB223" s="1">
        <v>0.13549999892711601</v>
      </c>
      <c r="BC223" s="1" t="s">
        <v>101</v>
      </c>
      <c r="BD223" s="2">
        <v>74.304651191651999</v>
      </c>
      <c r="BE223" s="2">
        <f t="shared" si="6"/>
        <v>1.485557818502997</v>
      </c>
      <c r="BF223" s="2">
        <f t="shared" si="7"/>
        <v>2.0400663475587506</v>
      </c>
      <c r="BG223">
        <v>12449</v>
      </c>
      <c r="BH223" s="3">
        <v>1195</v>
      </c>
      <c r="BI223">
        <v>10.618446774480185</v>
      </c>
      <c r="BJ223" s="3">
        <v>3663</v>
      </c>
      <c r="BK223">
        <v>528</v>
      </c>
      <c r="BL223">
        <v>16.842105263157894</v>
      </c>
      <c r="BM223" s="3">
        <v>888.84</v>
      </c>
      <c r="BN223">
        <v>540.98</v>
      </c>
      <c r="BO223">
        <v>155.51658713275455</v>
      </c>
      <c r="BP223">
        <v>3949574919.9299898</v>
      </c>
      <c r="BQ223">
        <v>138670402.86126995</v>
      </c>
      <c r="BR223">
        <v>3.6387792514920516</v>
      </c>
      <c r="BS223">
        <v>0.18332860000000001</v>
      </c>
      <c r="BT223">
        <v>0.42628310000000003</v>
      </c>
      <c r="BU223">
        <v>1.41564884120322</v>
      </c>
    </row>
    <row r="224" spans="1:73" x14ac:dyDescent="0.2">
      <c r="A224">
        <v>418</v>
      </c>
      <c r="B224" t="s">
        <v>77</v>
      </c>
      <c r="C224">
        <v>2018</v>
      </c>
      <c r="D224">
        <v>8</v>
      </c>
      <c r="E224">
        <v>1</v>
      </c>
      <c r="F224" t="s">
        <v>78</v>
      </c>
      <c r="G224">
        <v>1.0489299999999999</v>
      </c>
      <c r="H224">
        <v>0</v>
      </c>
      <c r="I224">
        <v>7.548</v>
      </c>
      <c r="J224">
        <v>8.2639999999999993</v>
      </c>
      <c r="K224">
        <v>6.1050000000000004</v>
      </c>
      <c r="L224">
        <v>6.3879999999999999</v>
      </c>
      <c r="M224">
        <v>2.2280000000000002</v>
      </c>
      <c r="N224">
        <v>2.444</v>
      </c>
      <c r="O224">
        <v>0.78</v>
      </c>
      <c r="P224">
        <v>5.1849999999999996</v>
      </c>
      <c r="Q224">
        <v>0</v>
      </c>
      <c r="R224">
        <v>8598.2000000000007</v>
      </c>
      <c r="S224">
        <v>1.911</v>
      </c>
      <c r="T224">
        <v>1.0900000000000001</v>
      </c>
      <c r="U224">
        <v>4.01</v>
      </c>
      <c r="V224">
        <v>38.6</v>
      </c>
      <c r="W224" t="s">
        <v>54</v>
      </c>
      <c r="X224" t="s">
        <v>55</v>
      </c>
      <c r="Y224" t="s">
        <v>59</v>
      </c>
      <c r="Z224">
        <v>0.44900000000000001</v>
      </c>
      <c r="AA224">
        <v>0.64300000000000002</v>
      </c>
      <c r="AB224">
        <v>84</v>
      </c>
      <c r="AC224">
        <v>8.24</v>
      </c>
      <c r="AE224">
        <v>-89.207300000000004</v>
      </c>
      <c r="AF224">
        <v>13.7034</v>
      </c>
      <c r="AG224" t="s">
        <v>63</v>
      </c>
      <c r="AH224" t="s">
        <v>58</v>
      </c>
      <c r="AI224">
        <v>3920.5259999999998</v>
      </c>
      <c r="AJ224">
        <v>2.4322879999999998</v>
      </c>
      <c r="AK224">
        <v>25200000000</v>
      </c>
      <c r="AL224">
        <v>53.511800000000001</v>
      </c>
      <c r="AN224">
        <v>-3.301793</v>
      </c>
      <c r="AO224">
        <v>54.844720000000002</v>
      </c>
      <c r="AP224">
        <v>75.633610000000004</v>
      </c>
      <c r="AQ224">
        <v>1.5862050000000001</v>
      </c>
      <c r="AR224">
        <v>16.109660000000002</v>
      </c>
      <c r="AS224">
        <v>0.1856177</v>
      </c>
      <c r="AT224">
        <v>8.6177699999999996E-2</v>
      </c>
      <c r="AU224">
        <v>0.60839989999999999</v>
      </c>
      <c r="AV224">
        <v>8.6177699999999996E-2</v>
      </c>
      <c r="AW224">
        <v>23.949020000000001</v>
      </c>
      <c r="AX224">
        <v>0.08</v>
      </c>
      <c r="AY224">
        <v>3.2428140384309998</v>
      </c>
      <c r="AZ224" s="1" t="s">
        <v>101</v>
      </c>
      <c r="BA224" s="1" t="s">
        <v>101</v>
      </c>
      <c r="BB224" s="1" t="s">
        <v>101</v>
      </c>
      <c r="BC224" s="1" t="s">
        <v>101</v>
      </c>
      <c r="BD224" s="2">
        <v>75.633616887995998</v>
      </c>
      <c r="BE224" s="2">
        <f t="shared" si="6"/>
        <v>1.3289656963439995</v>
      </c>
      <c r="BF224" s="2">
        <f t="shared" si="7"/>
        <v>1.7885363500546336</v>
      </c>
      <c r="BG224">
        <v>13197</v>
      </c>
      <c r="BH224" s="3">
        <v>748</v>
      </c>
      <c r="BI224">
        <v>6.0085147401397698</v>
      </c>
      <c r="BJ224" s="3">
        <v>3812</v>
      </c>
      <c r="BK224">
        <v>149</v>
      </c>
      <c r="BL224">
        <v>4.0677040677040681</v>
      </c>
      <c r="BM224" s="3">
        <v>826.05</v>
      </c>
      <c r="BN224">
        <v>62.790000000000077</v>
      </c>
      <c r="BO224">
        <v>7.0642635344944047</v>
      </c>
      <c r="BP224">
        <v>4234338448.9876499</v>
      </c>
      <c r="BQ224">
        <v>284763529.0576601</v>
      </c>
      <c r="BR224">
        <v>7.2099791706877614</v>
      </c>
      <c r="BS224">
        <v>2.3452799999999999E-2</v>
      </c>
      <c r="BT224">
        <v>0.26605810000000002</v>
      </c>
      <c r="BU224">
        <v>1.6817069312823301</v>
      </c>
    </row>
    <row r="225" spans="1:73" x14ac:dyDescent="0.2">
      <c r="A225">
        <v>419</v>
      </c>
      <c r="B225" t="s">
        <v>77</v>
      </c>
      <c r="C225">
        <v>2019</v>
      </c>
      <c r="D225">
        <v>8</v>
      </c>
      <c r="E225">
        <v>0</v>
      </c>
      <c r="F225" t="s">
        <v>78</v>
      </c>
      <c r="G225">
        <v>1.0770599999999999</v>
      </c>
      <c r="H225">
        <v>0</v>
      </c>
      <c r="I225">
        <v>7.548</v>
      </c>
      <c r="J225">
        <v>8.2639999999999993</v>
      </c>
      <c r="K225">
        <v>6.1050000000000004</v>
      </c>
      <c r="L225">
        <v>6.3879999999999999</v>
      </c>
      <c r="M225">
        <v>2.2280000000000002</v>
      </c>
      <c r="N225">
        <v>2.444</v>
      </c>
      <c r="O225">
        <v>0.78</v>
      </c>
      <c r="S225">
        <v>1.8620000000000001</v>
      </c>
      <c r="T225">
        <v>0.08</v>
      </c>
      <c r="U225">
        <v>4.17</v>
      </c>
      <c r="V225">
        <v>38.799999999999997</v>
      </c>
      <c r="W225" t="s">
        <v>54</v>
      </c>
      <c r="X225" t="s">
        <v>55</v>
      </c>
      <c r="Y225" t="s">
        <v>59</v>
      </c>
      <c r="Z225">
        <v>0.45100000000000001</v>
      </c>
      <c r="AA225">
        <v>0.64400000000000002</v>
      </c>
      <c r="AB225">
        <v>84</v>
      </c>
      <c r="AC225">
        <v>8.24</v>
      </c>
      <c r="AE225">
        <v>-89.207300000000004</v>
      </c>
      <c r="AF225">
        <v>13.7034</v>
      </c>
      <c r="AG225" t="s">
        <v>63</v>
      </c>
      <c r="AH225" t="s">
        <v>58</v>
      </c>
      <c r="AI225">
        <v>3993.529</v>
      </c>
      <c r="AJ225">
        <v>2.3825810000000001</v>
      </c>
      <c r="AK225">
        <v>25800000000</v>
      </c>
      <c r="AL225">
        <v>55.29927</v>
      </c>
      <c r="AN225">
        <v>-0.4214503</v>
      </c>
      <c r="AO225">
        <v>54.626489999999997</v>
      </c>
      <c r="AP225">
        <v>75.976830000000007</v>
      </c>
      <c r="AQ225">
        <v>2.588749</v>
      </c>
      <c r="AR225">
        <v>16.232500000000002</v>
      </c>
      <c r="AS225">
        <v>4.9706199999999999E-2</v>
      </c>
      <c r="AT225">
        <v>-2.5257290000000001</v>
      </c>
      <c r="AU225">
        <v>0.60839989999999999</v>
      </c>
      <c r="AV225">
        <v>-2.5257290000000001</v>
      </c>
      <c r="AW225">
        <v>23.972570000000001</v>
      </c>
      <c r="AX225">
        <v>1.01</v>
      </c>
      <c r="AY225">
        <v>3.2428140384309998</v>
      </c>
      <c r="AZ225" s="1" t="s">
        <v>101</v>
      </c>
      <c r="BA225" s="1" t="s">
        <v>101</v>
      </c>
      <c r="BB225" s="1" t="s">
        <v>101</v>
      </c>
      <c r="BC225" s="1" t="s">
        <v>101</v>
      </c>
      <c r="BD225" s="2">
        <v>76.042013099146999</v>
      </c>
      <c r="BE225" s="2">
        <f t="shared" si="6"/>
        <v>0.40839621115100044</v>
      </c>
      <c r="BF225" s="2">
        <f t="shared" si="7"/>
        <v>0.53996652276432122</v>
      </c>
      <c r="BG225">
        <v>14710</v>
      </c>
      <c r="BH225" s="3">
        <v>1513</v>
      </c>
      <c r="BI225">
        <v>11.464726831855724</v>
      </c>
      <c r="BJ225" s="3">
        <v>4251</v>
      </c>
      <c r="BK225">
        <v>439</v>
      </c>
      <c r="BL225">
        <v>11.516264428121721</v>
      </c>
      <c r="BM225" s="3">
        <v>635.75</v>
      </c>
      <c r="BN225">
        <v>190.29999999999995</v>
      </c>
      <c r="BO225">
        <v>23.037346407602442</v>
      </c>
      <c r="BP225">
        <v>4518933158.9263496</v>
      </c>
      <c r="BQ225">
        <v>284594709.93869972</v>
      </c>
      <c r="BR225">
        <v>6.7211138969474895</v>
      </c>
      <c r="BS225">
        <v>0.1228409</v>
      </c>
      <c r="BT225">
        <v>0.57700490000000004</v>
      </c>
      <c r="BU225">
        <v>2.2587118983759198</v>
      </c>
    </row>
    <row r="226" spans="1:73" x14ac:dyDescent="0.2">
      <c r="A226">
        <v>197</v>
      </c>
      <c r="B226" t="s">
        <v>79</v>
      </c>
      <c r="C226">
        <v>1992</v>
      </c>
      <c r="D226">
        <v>9</v>
      </c>
      <c r="E226">
        <v>0</v>
      </c>
      <c r="F226" t="s">
        <v>80</v>
      </c>
      <c r="G226">
        <v>0.6835</v>
      </c>
      <c r="H226">
        <v>1</v>
      </c>
      <c r="O226">
        <v>1.595</v>
      </c>
      <c r="Q226">
        <v>0</v>
      </c>
      <c r="R226">
        <v>5303.6</v>
      </c>
      <c r="S226">
        <v>2.1219999999999999</v>
      </c>
      <c r="T226">
        <v>10.050000000000001</v>
      </c>
      <c r="W226" t="s">
        <v>54</v>
      </c>
      <c r="X226" t="s">
        <v>55</v>
      </c>
      <c r="Y226" t="s">
        <v>59</v>
      </c>
      <c r="Z226">
        <v>0.218</v>
      </c>
      <c r="AA226">
        <v>0.39100000000000001</v>
      </c>
      <c r="AB226">
        <v>80</v>
      </c>
      <c r="AC226">
        <v>6.1</v>
      </c>
      <c r="AD226">
        <v>15.83122</v>
      </c>
      <c r="AE226">
        <v>-90.532799999999995</v>
      </c>
      <c r="AF226">
        <v>14.6248</v>
      </c>
      <c r="AG226" t="s">
        <v>57</v>
      </c>
      <c r="AH226" t="s">
        <v>58</v>
      </c>
      <c r="AI226">
        <v>2817.2310000000002</v>
      </c>
      <c r="AJ226">
        <v>4.8383390000000004</v>
      </c>
      <c r="AK226">
        <v>26900000000</v>
      </c>
      <c r="AM226">
        <v>15.83122</v>
      </c>
      <c r="AN226">
        <v>-6.7609490000000001</v>
      </c>
      <c r="AO226">
        <v>96.170810000000003</v>
      </c>
      <c r="AP226">
        <v>45.362250000000003</v>
      </c>
      <c r="AQ226">
        <v>0.90126830000000002</v>
      </c>
      <c r="AR226">
        <v>6.4248830000000003</v>
      </c>
      <c r="AT226">
        <v>2.3075730000000001</v>
      </c>
      <c r="AU226">
        <v>2.544025</v>
      </c>
      <c r="AV226">
        <v>2.3075730000000001</v>
      </c>
      <c r="AW226">
        <v>24.014939999999999</v>
      </c>
      <c r="AY226">
        <v>3.8899475940924302</v>
      </c>
      <c r="AZ226" s="1">
        <v>0.48350000381469699</v>
      </c>
      <c r="BA226" s="1">
        <v>0.12849999964237199</v>
      </c>
      <c r="BB226" s="1">
        <v>0.61199998855590798</v>
      </c>
      <c r="BC226" s="1">
        <v>4.4350690000000004</v>
      </c>
      <c r="BD226" s="2">
        <v>63.313928658359004</v>
      </c>
      <c r="BE226" s="2"/>
      <c r="BF226" s="2"/>
      <c r="BH226" s="3"/>
      <c r="BM226" s="3">
        <v>94.1</v>
      </c>
      <c r="BN226">
        <v>3.3999999999999915</v>
      </c>
      <c r="BO226">
        <v>3.7486218302094723</v>
      </c>
      <c r="BP226">
        <v>4575955958.7402496</v>
      </c>
      <c r="BQ226">
        <v>912757172.80704975</v>
      </c>
      <c r="BR226">
        <v>24.916943527937015</v>
      </c>
      <c r="BU226">
        <v>3.11915654059381</v>
      </c>
    </row>
    <row r="227" spans="1:73" x14ac:dyDescent="0.2">
      <c r="A227">
        <v>198</v>
      </c>
      <c r="B227" t="s">
        <v>79</v>
      </c>
      <c r="C227">
        <v>1993</v>
      </c>
      <c r="D227">
        <v>9</v>
      </c>
      <c r="E227">
        <v>0</v>
      </c>
      <c r="F227" t="s">
        <v>80</v>
      </c>
      <c r="G227">
        <v>0.6835</v>
      </c>
      <c r="H227">
        <v>0</v>
      </c>
      <c r="O227">
        <v>1.595</v>
      </c>
      <c r="Q227">
        <v>0</v>
      </c>
      <c r="R227">
        <v>5383</v>
      </c>
      <c r="S227">
        <v>1.31</v>
      </c>
      <c r="T227">
        <v>11.82</v>
      </c>
      <c r="W227" t="s">
        <v>54</v>
      </c>
      <c r="X227" t="s">
        <v>55</v>
      </c>
      <c r="Y227" t="s">
        <v>59</v>
      </c>
      <c r="Z227">
        <v>0.22600000000000001</v>
      </c>
      <c r="AA227">
        <v>0.39300000000000002</v>
      </c>
      <c r="AB227">
        <v>80</v>
      </c>
      <c r="AC227">
        <v>6.1</v>
      </c>
      <c r="AD227">
        <v>13.62251</v>
      </c>
      <c r="AE227">
        <v>-90.532799999999995</v>
      </c>
      <c r="AF227">
        <v>14.6248</v>
      </c>
      <c r="AG227" t="s">
        <v>57</v>
      </c>
      <c r="AH227" t="s">
        <v>58</v>
      </c>
      <c r="AI227">
        <v>2854.1329999999998</v>
      </c>
      <c r="AJ227">
        <v>3.9271319999999998</v>
      </c>
      <c r="AK227">
        <v>27900000000</v>
      </c>
      <c r="AM227">
        <v>13.62251</v>
      </c>
      <c r="AN227">
        <v>-6.1552939999999996</v>
      </c>
      <c r="AO227">
        <v>95.913929999999993</v>
      </c>
      <c r="AP227">
        <v>43.778930000000003</v>
      </c>
      <c r="AQ227">
        <v>1.250006</v>
      </c>
      <c r="AR227">
        <v>6.3563109999999998</v>
      </c>
      <c r="AS227">
        <v>0.91120699999999999</v>
      </c>
      <c r="AT227">
        <v>2.4697930000000001</v>
      </c>
      <c r="AU227">
        <v>2.544025</v>
      </c>
      <c r="AV227">
        <v>2.4697930000000001</v>
      </c>
      <c r="AW227">
        <v>24.053460000000001</v>
      </c>
      <c r="AX227">
        <v>1.77</v>
      </c>
      <c r="AY227">
        <v>3.8899475940924302</v>
      </c>
      <c r="AZ227" s="1">
        <v>0.48350000381469699</v>
      </c>
      <c r="BA227" s="1">
        <v>0.12849999964237199</v>
      </c>
      <c r="BB227" s="1">
        <v>0.61199998855590798</v>
      </c>
      <c r="BC227" s="1">
        <v>4.4350690000000004</v>
      </c>
      <c r="BD227" s="2">
        <v>62.227269917481998</v>
      </c>
      <c r="BE227" s="2">
        <f t="shared" si="6"/>
        <v>1.0866587408770059</v>
      </c>
      <c r="BF227" s="2">
        <f t="shared" si="7"/>
        <v>1.7163028166212839</v>
      </c>
      <c r="BH227" s="3"/>
      <c r="BM227" s="3">
        <v>142.5</v>
      </c>
      <c r="BN227">
        <v>48.400000000000006</v>
      </c>
      <c r="BO227">
        <v>51.434643995749212</v>
      </c>
      <c r="BP227">
        <v>5012019016.64429</v>
      </c>
      <c r="BQ227">
        <v>436063057.90404034</v>
      </c>
      <c r="BR227">
        <v>9.5294417567796597</v>
      </c>
      <c r="BS227">
        <v>6.8571599999999996E-2</v>
      </c>
      <c r="BT227">
        <v>0.42043760000000002</v>
      </c>
      <c r="BU227">
        <v>3.5395942554241202</v>
      </c>
    </row>
    <row r="228" spans="1:73" x14ac:dyDescent="0.2">
      <c r="A228">
        <v>199</v>
      </c>
      <c r="B228" t="s">
        <v>79</v>
      </c>
      <c r="C228">
        <v>1994</v>
      </c>
      <c r="D228">
        <v>9</v>
      </c>
      <c r="E228">
        <v>0</v>
      </c>
      <c r="F228" t="s">
        <v>80</v>
      </c>
      <c r="G228">
        <v>0.6835</v>
      </c>
      <c r="H228">
        <v>0</v>
      </c>
      <c r="O228">
        <v>1.595</v>
      </c>
      <c r="Q228">
        <v>0</v>
      </c>
      <c r="R228">
        <v>5414.5</v>
      </c>
      <c r="S228">
        <v>1.4750000000000001</v>
      </c>
      <c r="T228">
        <v>10.86</v>
      </c>
      <c r="W228" t="s">
        <v>54</v>
      </c>
      <c r="X228" t="s">
        <v>55</v>
      </c>
      <c r="Y228" t="s">
        <v>59</v>
      </c>
      <c r="Z228">
        <v>0.24199999999999999</v>
      </c>
      <c r="AA228">
        <v>0.40699999999999997</v>
      </c>
      <c r="AB228">
        <v>80</v>
      </c>
      <c r="AC228">
        <v>6.1</v>
      </c>
      <c r="AD228">
        <v>13.161949999999999</v>
      </c>
      <c r="AE228">
        <v>-90.532799999999995</v>
      </c>
      <c r="AF228">
        <v>14.6248</v>
      </c>
      <c r="AG228" t="s">
        <v>57</v>
      </c>
      <c r="AH228" t="s">
        <v>58</v>
      </c>
      <c r="AI228">
        <v>2896.223</v>
      </c>
      <c r="AJ228">
        <v>4.033741</v>
      </c>
      <c r="AK228">
        <v>29100000000</v>
      </c>
      <c r="AM228">
        <v>13.161949999999999</v>
      </c>
      <c r="AN228">
        <v>-4.816211</v>
      </c>
      <c r="AO228">
        <v>95.480029999999999</v>
      </c>
      <c r="AP228">
        <v>42.370890000000003</v>
      </c>
      <c r="AQ228">
        <v>0.50218609999999997</v>
      </c>
      <c r="AR228">
        <v>5.5732489999999997</v>
      </c>
      <c r="AS228">
        <v>0.1066096</v>
      </c>
      <c r="AT228">
        <v>2.3850859999999998</v>
      </c>
      <c r="AU228">
        <v>2.544025</v>
      </c>
      <c r="AV228">
        <v>2.3850859999999998</v>
      </c>
      <c r="AW228">
        <v>24.093</v>
      </c>
      <c r="AX228">
        <v>0.96</v>
      </c>
      <c r="AY228">
        <v>3.8899475940924302</v>
      </c>
      <c r="AZ228" s="1">
        <v>0.48350000381469699</v>
      </c>
      <c r="BA228" s="1">
        <v>0.12849999964237199</v>
      </c>
      <c r="BB228" s="1">
        <v>0.61199998855590798</v>
      </c>
      <c r="BC228" s="1">
        <v>3.4669557000000002</v>
      </c>
      <c r="BD228" s="2">
        <v>59.878044040006998</v>
      </c>
      <c r="BE228" s="2">
        <f t="shared" si="6"/>
        <v>2.3492258774749999</v>
      </c>
      <c r="BF228" s="2">
        <f t="shared" si="7"/>
        <v>3.7752353278397859</v>
      </c>
      <c r="BH228" s="3"/>
      <c r="BM228" s="3">
        <v>65.2</v>
      </c>
      <c r="BN228">
        <v>77.3</v>
      </c>
      <c r="BO228">
        <v>54.245614035087719</v>
      </c>
      <c r="BP228">
        <v>4880662312.78234</v>
      </c>
      <c r="BQ228">
        <v>131356703.86194992</v>
      </c>
      <c r="BR228">
        <v>2.6208341074870365</v>
      </c>
      <c r="BS228">
        <v>0.78306200000000004</v>
      </c>
      <c r="BT228">
        <v>6.118849</v>
      </c>
      <c r="BU228">
        <v>-2.5792547005518598</v>
      </c>
    </row>
    <row r="229" spans="1:73" x14ac:dyDescent="0.2">
      <c r="A229">
        <v>200</v>
      </c>
      <c r="B229" t="s">
        <v>79</v>
      </c>
      <c r="C229">
        <v>1995</v>
      </c>
      <c r="D229">
        <v>9</v>
      </c>
      <c r="E229">
        <v>0</v>
      </c>
      <c r="F229" t="s">
        <v>80</v>
      </c>
      <c r="G229">
        <v>0.6835</v>
      </c>
      <c r="H229">
        <v>0</v>
      </c>
      <c r="O229">
        <v>1.595</v>
      </c>
      <c r="Q229">
        <v>1</v>
      </c>
      <c r="R229">
        <v>5501</v>
      </c>
      <c r="S229">
        <v>2.4049999999999998</v>
      </c>
      <c r="T229">
        <v>8.41</v>
      </c>
      <c r="W229" t="s">
        <v>54</v>
      </c>
      <c r="X229" t="s">
        <v>55</v>
      </c>
      <c r="Y229" t="s">
        <v>59</v>
      </c>
      <c r="Z229">
        <v>0.248</v>
      </c>
      <c r="AA229">
        <v>0.41299999999999998</v>
      </c>
      <c r="AB229">
        <v>80</v>
      </c>
      <c r="AC229">
        <v>4</v>
      </c>
      <c r="AD229">
        <v>11.404999999999999</v>
      </c>
      <c r="AE229">
        <v>-90.532799999999995</v>
      </c>
      <c r="AF229">
        <v>14.6248</v>
      </c>
      <c r="AG229" t="s">
        <v>57</v>
      </c>
      <c r="AH229" t="s">
        <v>58</v>
      </c>
      <c r="AI229">
        <v>2965.8919999999998</v>
      </c>
      <c r="AJ229">
        <v>4.9485469999999996</v>
      </c>
      <c r="AK229">
        <v>30500000000</v>
      </c>
      <c r="AM229">
        <v>11.404999999999999</v>
      </c>
      <c r="AN229">
        <v>-3.9036789999999999</v>
      </c>
      <c r="AO229">
        <v>94.813800000000001</v>
      </c>
      <c r="AP229">
        <v>44.689430000000002</v>
      </c>
      <c r="AQ229">
        <v>0.5131213</v>
      </c>
      <c r="AR229">
        <v>5.5099590000000003</v>
      </c>
      <c r="AS229">
        <v>0.91480589999999995</v>
      </c>
      <c r="AT229">
        <v>2.1294209999999998</v>
      </c>
      <c r="AU229">
        <v>2.544025</v>
      </c>
      <c r="AV229">
        <v>2.1294209999999998</v>
      </c>
      <c r="AW229">
        <v>24.141300000000001</v>
      </c>
      <c r="AX229">
        <v>2.4500000000000002</v>
      </c>
      <c r="AY229">
        <v>3.8899475940924302</v>
      </c>
      <c r="AZ229" s="1">
        <v>0.74199998378753695</v>
      </c>
      <c r="BA229" s="1">
        <v>8.4499999880790697E-2</v>
      </c>
      <c r="BB229" s="1">
        <v>0.82649999856948897</v>
      </c>
      <c r="BC229" s="1">
        <v>3.4669557000000002</v>
      </c>
      <c r="BD229" s="2">
        <v>62.926726478427</v>
      </c>
      <c r="BE229" s="2">
        <f t="shared" si="6"/>
        <v>3.048682438420002</v>
      </c>
      <c r="BF229" s="2">
        <f t="shared" si="7"/>
        <v>5.0914863491249838</v>
      </c>
      <c r="BH229" s="3"/>
      <c r="BM229" s="3">
        <v>75.2</v>
      </c>
      <c r="BN229">
        <v>10</v>
      </c>
      <c r="BO229">
        <v>15.337423312883434</v>
      </c>
      <c r="BP229">
        <v>5304956968.6451502</v>
      </c>
      <c r="BQ229">
        <v>424294655.86281013</v>
      </c>
      <c r="BR229">
        <v>8.693382755688555</v>
      </c>
      <c r="BS229">
        <v>6.3290100000000002E-2</v>
      </c>
      <c r="BT229">
        <v>5.7917490000000003</v>
      </c>
      <c r="BU229">
        <v>3.2124937811702101</v>
      </c>
    </row>
    <row r="230" spans="1:73" x14ac:dyDescent="0.2">
      <c r="A230">
        <v>201</v>
      </c>
      <c r="B230" t="s">
        <v>79</v>
      </c>
      <c r="C230">
        <v>1996</v>
      </c>
      <c r="D230">
        <v>9</v>
      </c>
      <c r="E230">
        <v>1</v>
      </c>
      <c r="F230" t="s">
        <v>80</v>
      </c>
      <c r="G230">
        <v>0.6835</v>
      </c>
      <c r="H230">
        <v>0</v>
      </c>
      <c r="I230">
        <v>0.153</v>
      </c>
      <c r="J230">
        <v>0.19400000000000001</v>
      </c>
      <c r="K230">
        <v>0.87</v>
      </c>
      <c r="L230">
        <v>0.97799999999999998</v>
      </c>
      <c r="M230">
        <v>0.27800000000000002</v>
      </c>
      <c r="N230">
        <v>0.35199999999999998</v>
      </c>
      <c r="O230">
        <v>1.595</v>
      </c>
      <c r="P230">
        <v>4.2220000000000004</v>
      </c>
      <c r="Q230">
        <v>0</v>
      </c>
      <c r="R230">
        <v>5511.9</v>
      </c>
      <c r="S230">
        <v>0.51300000000000001</v>
      </c>
      <c r="T230">
        <v>11.06</v>
      </c>
      <c r="W230" t="s">
        <v>54</v>
      </c>
      <c r="X230" t="s">
        <v>55</v>
      </c>
      <c r="Y230" t="s">
        <v>59</v>
      </c>
      <c r="Z230">
        <v>0.26600000000000001</v>
      </c>
      <c r="AA230">
        <v>0.44500000000000001</v>
      </c>
      <c r="AB230">
        <v>80</v>
      </c>
      <c r="AC230">
        <v>4</v>
      </c>
      <c r="AD230">
        <v>11.24183</v>
      </c>
      <c r="AE230">
        <v>-90.532799999999995</v>
      </c>
      <c r="AF230">
        <v>14.6248</v>
      </c>
      <c r="AG230" t="s">
        <v>57</v>
      </c>
      <c r="AH230" t="s">
        <v>58</v>
      </c>
      <c r="AI230">
        <v>2981.1210000000001</v>
      </c>
      <c r="AJ230">
        <v>2.9577800000000001</v>
      </c>
      <c r="AK230">
        <v>31400000000</v>
      </c>
      <c r="AM230">
        <v>11.24183</v>
      </c>
      <c r="AN230">
        <v>-2.8772229999999999</v>
      </c>
      <c r="AO230">
        <v>94.426349999999999</v>
      </c>
      <c r="AP230">
        <v>40.392949999999999</v>
      </c>
      <c r="AQ230">
        <v>0.49059530000000001</v>
      </c>
      <c r="AR230">
        <v>5.0803089999999997</v>
      </c>
      <c r="AS230">
        <v>1.990767</v>
      </c>
      <c r="AT230">
        <v>2.4033350000000002</v>
      </c>
      <c r="AU230">
        <v>2.544025</v>
      </c>
      <c r="AV230">
        <v>2.4033350000000002</v>
      </c>
      <c r="AW230">
        <v>24.170449999999999</v>
      </c>
      <c r="AX230">
        <v>2.6500010000000001</v>
      </c>
      <c r="AY230">
        <v>3.8899475940924302</v>
      </c>
      <c r="AZ230" s="1">
        <v>0.74199998378753695</v>
      </c>
      <c r="BA230" s="1">
        <v>8.4499999880790697E-2</v>
      </c>
      <c r="BB230" s="1">
        <v>0.82649999856948897</v>
      </c>
      <c r="BC230" s="1">
        <v>2.725724</v>
      </c>
      <c r="BD230" s="2">
        <v>56.865076513737002</v>
      </c>
      <c r="BE230" s="2">
        <f t="shared" si="6"/>
        <v>6.0616499646899982</v>
      </c>
      <c r="BF230" s="2">
        <f t="shared" si="7"/>
        <v>9.6328703301737733</v>
      </c>
      <c r="BH230" s="3"/>
      <c r="BM230" s="3">
        <v>76.900000000000006</v>
      </c>
      <c r="BN230">
        <v>1.7000000000000028</v>
      </c>
      <c r="BO230">
        <v>2.2606382978723443</v>
      </c>
      <c r="BP230">
        <v>5199786777.5083599</v>
      </c>
      <c r="BQ230">
        <v>105170191.13679028</v>
      </c>
      <c r="BR230">
        <v>1.9824890523786856</v>
      </c>
      <c r="BS230">
        <v>0.42965029999999999</v>
      </c>
      <c r="BT230">
        <v>4.2168010000000002</v>
      </c>
      <c r="BU230">
        <v>-1.0043074436853301</v>
      </c>
    </row>
    <row r="231" spans="1:73" x14ac:dyDescent="0.2">
      <c r="A231">
        <v>202</v>
      </c>
      <c r="B231" t="s">
        <v>79</v>
      </c>
      <c r="C231">
        <v>1997</v>
      </c>
      <c r="D231">
        <v>9</v>
      </c>
      <c r="E231">
        <v>0</v>
      </c>
      <c r="F231" t="s">
        <v>80</v>
      </c>
      <c r="G231">
        <v>0.6835</v>
      </c>
      <c r="H231">
        <v>0</v>
      </c>
      <c r="I231">
        <v>0.153</v>
      </c>
      <c r="J231">
        <v>0.19400000000000001</v>
      </c>
      <c r="K231">
        <v>0.87</v>
      </c>
      <c r="L231">
        <v>0.97799999999999998</v>
      </c>
      <c r="M231">
        <v>0.27800000000000002</v>
      </c>
      <c r="N231">
        <v>0.35199999999999998</v>
      </c>
      <c r="O231">
        <v>-0.80900000000000005</v>
      </c>
      <c r="P231">
        <v>5.3369999999999997</v>
      </c>
      <c r="Q231">
        <v>0</v>
      </c>
      <c r="R231">
        <v>5601.2</v>
      </c>
      <c r="S231">
        <v>1.9319999999999999</v>
      </c>
      <c r="T231">
        <v>9.23</v>
      </c>
      <c r="W231" t="s">
        <v>54</v>
      </c>
      <c r="X231" t="s">
        <v>55</v>
      </c>
      <c r="Y231" t="s">
        <v>59</v>
      </c>
      <c r="Z231">
        <v>0.30199999999999999</v>
      </c>
      <c r="AA231">
        <v>0.504</v>
      </c>
      <c r="AB231">
        <v>80</v>
      </c>
      <c r="AC231">
        <v>4</v>
      </c>
      <c r="AD231">
        <v>11.345219999999999</v>
      </c>
      <c r="AE231">
        <v>-90.532799999999995</v>
      </c>
      <c r="AF231">
        <v>14.6248</v>
      </c>
      <c r="AG231" t="s">
        <v>57</v>
      </c>
      <c r="AH231" t="s">
        <v>58</v>
      </c>
      <c r="AI231">
        <v>3038.7139999999999</v>
      </c>
      <c r="AJ231">
        <v>4.36409</v>
      </c>
      <c r="AK231">
        <v>32800000000</v>
      </c>
      <c r="AM231">
        <v>11.345219999999999</v>
      </c>
      <c r="AN231">
        <v>-3.5609839999999999</v>
      </c>
      <c r="AO231">
        <v>93.710489999999993</v>
      </c>
      <c r="AP231">
        <v>41.551949999999998</v>
      </c>
      <c r="AQ231">
        <v>3.5491799999999998</v>
      </c>
      <c r="AR231">
        <v>4.9973020000000004</v>
      </c>
      <c r="AS231">
        <v>1.4063099999999999</v>
      </c>
      <c r="AT231">
        <v>2.2224590000000002</v>
      </c>
      <c r="AU231">
        <v>0.65448110000000004</v>
      </c>
      <c r="AV231">
        <v>2.2224590000000002</v>
      </c>
      <c r="AW231">
        <v>24.213170000000002</v>
      </c>
      <c r="AX231">
        <v>1.830001</v>
      </c>
      <c r="AY231">
        <v>1.9811021121168799</v>
      </c>
      <c r="AZ231" s="1">
        <v>0.74199998378753695</v>
      </c>
      <c r="BA231" s="1">
        <v>8.4499999880790697E-2</v>
      </c>
      <c r="BB231" s="1">
        <v>0.82649999856948897</v>
      </c>
      <c r="BC231" s="1">
        <v>2.725724</v>
      </c>
      <c r="BD231" s="2">
        <v>58.507692952197999</v>
      </c>
      <c r="BE231" s="2">
        <f t="shared" si="6"/>
        <v>1.6426164384609976</v>
      </c>
      <c r="BF231" s="2">
        <f t="shared" si="7"/>
        <v>2.888620818199704</v>
      </c>
      <c r="BH231" s="3"/>
      <c r="BM231" s="3">
        <v>84.4</v>
      </c>
      <c r="BN231">
        <v>7.5</v>
      </c>
      <c r="BO231">
        <v>9.7529258777633281</v>
      </c>
      <c r="BP231">
        <v>6369963087.6116104</v>
      </c>
      <c r="BQ231">
        <v>1170176310.1032505</v>
      </c>
      <c r="BR231">
        <v>22.504313353094393</v>
      </c>
      <c r="BS231">
        <v>8.3007300000000006E-2</v>
      </c>
      <c r="BT231">
        <v>2.6457839999999999</v>
      </c>
      <c r="BU231">
        <v>1.64147678229898</v>
      </c>
    </row>
    <row r="232" spans="1:73" x14ac:dyDescent="0.2">
      <c r="A232">
        <v>203</v>
      </c>
      <c r="B232" t="s">
        <v>79</v>
      </c>
      <c r="C232">
        <v>1998</v>
      </c>
      <c r="D232">
        <v>9</v>
      </c>
      <c r="E232">
        <v>0</v>
      </c>
      <c r="F232" t="s">
        <v>80</v>
      </c>
      <c r="G232">
        <v>0.6835</v>
      </c>
      <c r="H232">
        <v>0</v>
      </c>
      <c r="I232">
        <v>0.153</v>
      </c>
      <c r="J232">
        <v>0.19400000000000001</v>
      </c>
      <c r="K232">
        <v>0.87</v>
      </c>
      <c r="L232">
        <v>0.97799999999999998</v>
      </c>
      <c r="M232">
        <v>0.27800000000000002</v>
      </c>
      <c r="N232">
        <v>0.35199999999999998</v>
      </c>
      <c r="O232">
        <v>-0.80900000000000005</v>
      </c>
      <c r="P232">
        <v>5.3769999999999998</v>
      </c>
      <c r="Q232">
        <v>0</v>
      </c>
      <c r="R232">
        <v>5730.7</v>
      </c>
      <c r="S232">
        <v>2.5430000000000001</v>
      </c>
      <c r="T232">
        <v>6.61</v>
      </c>
      <c r="W232" t="s">
        <v>54</v>
      </c>
      <c r="X232" t="s">
        <v>55</v>
      </c>
      <c r="Y232" t="s">
        <v>59</v>
      </c>
      <c r="Z232">
        <v>0.30299999999999999</v>
      </c>
      <c r="AA232">
        <v>0.504</v>
      </c>
      <c r="AB232">
        <v>80</v>
      </c>
      <c r="AC232">
        <v>4</v>
      </c>
      <c r="AD232">
        <v>11.28017</v>
      </c>
      <c r="AE232">
        <v>-90.532799999999995</v>
      </c>
      <c r="AF232">
        <v>14.6248</v>
      </c>
      <c r="AG232" t="s">
        <v>57</v>
      </c>
      <c r="AH232" t="s">
        <v>58</v>
      </c>
      <c r="AI232">
        <v>3115.9780000000001</v>
      </c>
      <c r="AJ232">
        <v>4.9935280000000004</v>
      </c>
      <c r="AK232">
        <v>34400000000</v>
      </c>
      <c r="AM232">
        <v>11.28017</v>
      </c>
      <c r="AN232">
        <v>-5.3574299999999999</v>
      </c>
      <c r="AO232">
        <v>92.80874</v>
      </c>
      <c r="AP232">
        <v>44.423740000000002</v>
      </c>
      <c r="AQ232">
        <v>6.9413039999999997</v>
      </c>
      <c r="AR232">
        <v>5.6774620000000002</v>
      </c>
      <c r="AS232">
        <v>0.62943789999999999</v>
      </c>
      <c r="AT232">
        <v>1.888584</v>
      </c>
      <c r="AU232">
        <v>0.65448110000000004</v>
      </c>
      <c r="AV232">
        <v>1.888584</v>
      </c>
      <c r="AW232">
        <v>24.261900000000001</v>
      </c>
      <c r="AX232">
        <v>2.619999</v>
      </c>
      <c r="AY232">
        <v>1.9811021121168799</v>
      </c>
      <c r="AZ232" s="1">
        <v>0.74199998378753695</v>
      </c>
      <c r="BA232" s="1">
        <v>8.4499999880790697E-2</v>
      </c>
      <c r="BB232" s="1">
        <v>0.82649999856948897</v>
      </c>
      <c r="BC232" s="1">
        <v>2.3126842999999999</v>
      </c>
      <c r="BD232" s="2">
        <v>62.581336485229002</v>
      </c>
      <c r="BE232" s="2">
        <f t="shared" si="6"/>
        <v>4.073643533031003</v>
      </c>
      <c r="BF232" s="2">
        <f t="shared" si="7"/>
        <v>6.9625776158346468</v>
      </c>
      <c r="BH232" s="3"/>
      <c r="BM232" s="3">
        <v>672.8</v>
      </c>
      <c r="BN232">
        <v>588.4</v>
      </c>
      <c r="BO232">
        <v>697.15639810426535</v>
      </c>
      <c r="BP232">
        <v>7480021610.1539497</v>
      </c>
      <c r="BQ232">
        <v>1110058522.5423393</v>
      </c>
      <c r="BR232">
        <v>17.426451413842507</v>
      </c>
      <c r="BS232">
        <v>0.68015999999999999</v>
      </c>
      <c r="BT232">
        <v>0.96059079999999997</v>
      </c>
      <c r="BU232">
        <v>0.680885924958474</v>
      </c>
    </row>
    <row r="233" spans="1:73" x14ac:dyDescent="0.2">
      <c r="A233">
        <v>204</v>
      </c>
      <c r="B233" t="s">
        <v>79</v>
      </c>
      <c r="C233">
        <v>1999</v>
      </c>
      <c r="D233">
        <v>9</v>
      </c>
      <c r="E233">
        <v>0</v>
      </c>
      <c r="F233" t="s">
        <v>80</v>
      </c>
      <c r="G233">
        <v>0.6835</v>
      </c>
      <c r="H233">
        <v>0</v>
      </c>
      <c r="I233">
        <v>0.153</v>
      </c>
      <c r="J233">
        <v>0.19400000000000001</v>
      </c>
      <c r="K233">
        <v>0.87</v>
      </c>
      <c r="L233">
        <v>0.97799999999999998</v>
      </c>
      <c r="M233">
        <v>0.27800000000000002</v>
      </c>
      <c r="N233">
        <v>0.35199999999999998</v>
      </c>
      <c r="O233">
        <v>-0.80900000000000005</v>
      </c>
      <c r="P233">
        <v>5.3769999999999998</v>
      </c>
      <c r="Q233">
        <v>1</v>
      </c>
      <c r="R233">
        <v>5824.9</v>
      </c>
      <c r="S233">
        <v>1.415</v>
      </c>
      <c r="T233">
        <v>5.21</v>
      </c>
      <c r="W233" t="s">
        <v>54</v>
      </c>
      <c r="X233" t="s">
        <v>55</v>
      </c>
      <c r="Y233" t="s">
        <v>59</v>
      </c>
      <c r="Z233">
        <v>0.30599999999999999</v>
      </c>
      <c r="AA233">
        <v>0.50600000000000001</v>
      </c>
      <c r="AB233">
        <v>113</v>
      </c>
      <c r="AC233">
        <v>4</v>
      </c>
      <c r="AD233">
        <v>13.470190000000001</v>
      </c>
      <c r="AE233">
        <v>-90.532799999999995</v>
      </c>
      <c r="AF233">
        <v>14.6248</v>
      </c>
      <c r="AG233" t="s">
        <v>57</v>
      </c>
      <c r="AH233" t="s">
        <v>58</v>
      </c>
      <c r="AI233">
        <v>3160.08</v>
      </c>
      <c r="AJ233">
        <v>3.8470620000000002</v>
      </c>
      <c r="AK233">
        <v>35700000000</v>
      </c>
      <c r="AM233">
        <v>13.470190000000001</v>
      </c>
      <c r="AN233">
        <v>-5.6003759999999998</v>
      </c>
      <c r="AO233">
        <v>91.954930000000004</v>
      </c>
      <c r="AP233">
        <v>46.360509999999998</v>
      </c>
      <c r="AQ233">
        <v>5.0473800000000004</v>
      </c>
      <c r="AR233">
        <v>6.3216359999999998</v>
      </c>
      <c r="AS233">
        <v>1.146466</v>
      </c>
      <c r="AT233">
        <v>1.6505799999999999</v>
      </c>
      <c r="AU233">
        <v>0.65448110000000004</v>
      </c>
      <c r="AV233">
        <v>1.6505799999999999</v>
      </c>
      <c r="AW233">
        <v>24.29965</v>
      </c>
      <c r="AX233">
        <v>1.4</v>
      </c>
      <c r="AY233">
        <v>1.9811021121168799</v>
      </c>
      <c r="AZ233" s="1">
        <v>0.26150000095367398</v>
      </c>
      <c r="BA233" s="1">
        <v>0.18899999558925601</v>
      </c>
      <c r="BB233" s="1">
        <v>0.45050001144409202</v>
      </c>
      <c r="BC233" s="1">
        <v>2.3537328</v>
      </c>
      <c r="BD233" s="2">
        <v>65.308400244444002</v>
      </c>
      <c r="BE233" s="2">
        <f t="shared" si="6"/>
        <v>2.7270637592149995</v>
      </c>
      <c r="BF233" s="2">
        <f t="shared" si="7"/>
        <v>4.3576310644287135</v>
      </c>
      <c r="BH233" s="3"/>
      <c r="BM233" s="3">
        <v>154.6</v>
      </c>
      <c r="BN233">
        <v>518.19999999999993</v>
      </c>
      <c r="BO233">
        <v>77.021403091557659</v>
      </c>
      <c r="BP233">
        <v>7914374484.7237101</v>
      </c>
      <c r="BQ233">
        <v>434352874.56976032</v>
      </c>
      <c r="BR233">
        <v>5.8068398355980237</v>
      </c>
      <c r="BS233">
        <v>0.64417460000000004</v>
      </c>
      <c r="BT233">
        <v>4.1589320000000001</v>
      </c>
      <c r="BU233">
        <v>-3.4780460784310301</v>
      </c>
    </row>
    <row r="234" spans="1:73" x14ac:dyDescent="0.2">
      <c r="A234">
        <v>205</v>
      </c>
      <c r="B234" t="s">
        <v>79</v>
      </c>
      <c r="C234">
        <v>2000</v>
      </c>
      <c r="D234">
        <v>9</v>
      </c>
      <c r="E234">
        <v>1</v>
      </c>
      <c r="F234" t="s">
        <v>80</v>
      </c>
      <c r="G234">
        <v>0.6835</v>
      </c>
      <c r="H234">
        <v>0</v>
      </c>
      <c r="I234">
        <v>1.2370000000000001</v>
      </c>
      <c r="J234">
        <v>0.72699999999999998</v>
      </c>
      <c r="K234">
        <v>2.472</v>
      </c>
      <c r="L234">
        <v>1.8939999999999999</v>
      </c>
      <c r="M234">
        <v>0.66300000000000003</v>
      </c>
      <c r="N234">
        <v>0.48699999999999999</v>
      </c>
      <c r="O234">
        <v>-0.80900000000000005</v>
      </c>
      <c r="P234">
        <v>4.6909999999999998</v>
      </c>
      <c r="Q234">
        <v>0</v>
      </c>
      <c r="R234">
        <v>5860.3</v>
      </c>
      <c r="S234">
        <v>1.1180000000000001</v>
      </c>
      <c r="T234">
        <v>5.98</v>
      </c>
      <c r="V234">
        <v>54.2</v>
      </c>
      <c r="W234" t="s">
        <v>54</v>
      </c>
      <c r="X234" t="s">
        <v>55</v>
      </c>
      <c r="Y234" t="s">
        <v>59</v>
      </c>
      <c r="Z234">
        <v>0.377</v>
      </c>
      <c r="AA234">
        <v>0.55400000000000005</v>
      </c>
      <c r="AB234">
        <v>113</v>
      </c>
      <c r="AC234">
        <v>4</v>
      </c>
      <c r="AD234">
        <v>16.983820000000001</v>
      </c>
      <c r="AE234">
        <v>-90.532799999999995</v>
      </c>
      <c r="AF234">
        <v>14.6248</v>
      </c>
      <c r="AG234" t="s">
        <v>57</v>
      </c>
      <c r="AH234" t="s">
        <v>58</v>
      </c>
      <c r="AI234">
        <v>3195.3939999999998</v>
      </c>
      <c r="AJ234">
        <v>3.6088689999999999</v>
      </c>
      <c r="AK234">
        <v>37000000000</v>
      </c>
      <c r="AM234">
        <v>16.983820000000001</v>
      </c>
      <c r="AN234">
        <v>-5.4414920000000002</v>
      </c>
      <c r="AO234">
        <v>91.255330000000001</v>
      </c>
      <c r="AP234">
        <v>49.145589999999999</v>
      </c>
      <c r="AQ234">
        <v>-4.0883770000000004</v>
      </c>
      <c r="AR234">
        <v>7.0026149999999996</v>
      </c>
      <c r="AS234">
        <v>0.2381935</v>
      </c>
      <c r="AT234">
        <v>1.788421</v>
      </c>
      <c r="AU234">
        <v>0.65448110000000004</v>
      </c>
      <c r="AV234">
        <v>1.788421</v>
      </c>
      <c r="AW234">
        <v>24.335100000000001</v>
      </c>
      <c r="AX234">
        <v>0.77</v>
      </c>
      <c r="AY234">
        <v>1.9811021121168799</v>
      </c>
      <c r="AZ234" s="1">
        <v>0.26150000095367398</v>
      </c>
      <c r="BA234" s="1">
        <v>0.18899999558925601</v>
      </c>
      <c r="BB234" s="1">
        <v>0.45050001144409202</v>
      </c>
      <c r="BC234" s="1">
        <v>2.3537328</v>
      </c>
      <c r="BD234" s="2">
        <v>69.230404049810005</v>
      </c>
      <c r="BE234" s="2">
        <f t="shared" si="6"/>
        <v>3.9220038053660033</v>
      </c>
      <c r="BF234" s="2">
        <f t="shared" si="7"/>
        <v>6.0053588675978338</v>
      </c>
      <c r="BH234" s="3"/>
      <c r="BM234" s="3">
        <v>229.9</v>
      </c>
      <c r="BN234">
        <v>75.300000000000011</v>
      </c>
      <c r="BO234">
        <v>48.706338939197941</v>
      </c>
      <c r="BP234">
        <v>7217206286.2557697</v>
      </c>
      <c r="BQ234">
        <v>697168198.46794033</v>
      </c>
      <c r="BR234">
        <v>8.8088856524746362</v>
      </c>
      <c r="BS234">
        <v>0.6809788</v>
      </c>
      <c r="BT234">
        <v>7.874784</v>
      </c>
      <c r="BU234">
        <v>4.3967369631381796</v>
      </c>
    </row>
    <row r="235" spans="1:73" x14ac:dyDescent="0.2">
      <c r="A235">
        <v>206</v>
      </c>
      <c r="B235" t="s">
        <v>79</v>
      </c>
      <c r="C235">
        <v>2001</v>
      </c>
      <c r="D235">
        <v>9</v>
      </c>
      <c r="E235">
        <v>0</v>
      </c>
      <c r="F235" t="s">
        <v>80</v>
      </c>
      <c r="G235">
        <v>0.6835</v>
      </c>
      <c r="H235">
        <v>0</v>
      </c>
      <c r="I235">
        <v>1.2370000000000001</v>
      </c>
      <c r="J235">
        <v>0.72699999999999998</v>
      </c>
      <c r="K235">
        <v>2.472</v>
      </c>
      <c r="L235">
        <v>1.8939999999999999</v>
      </c>
      <c r="M235">
        <v>0.66300000000000003</v>
      </c>
      <c r="N235">
        <v>0.48699999999999999</v>
      </c>
      <c r="O235">
        <v>-0.80900000000000005</v>
      </c>
      <c r="P235">
        <v>3.9540000000000002</v>
      </c>
      <c r="Q235">
        <v>0</v>
      </c>
      <c r="R235">
        <v>5882.7</v>
      </c>
      <c r="S235">
        <v>-9.7000000000000003E-2</v>
      </c>
      <c r="T235">
        <v>7.29</v>
      </c>
      <c r="W235" t="s">
        <v>54</v>
      </c>
      <c r="X235" t="s">
        <v>55</v>
      </c>
      <c r="Y235" t="s">
        <v>59</v>
      </c>
      <c r="Z235">
        <v>0.377</v>
      </c>
      <c r="AA235">
        <v>0.55400000000000005</v>
      </c>
      <c r="AB235">
        <v>113</v>
      </c>
      <c r="AC235">
        <v>6</v>
      </c>
      <c r="AD235">
        <v>20.269020000000001</v>
      </c>
      <c r="AE235">
        <v>-90.532799999999995</v>
      </c>
      <c r="AF235">
        <v>14.6248</v>
      </c>
      <c r="AG235" t="s">
        <v>57</v>
      </c>
      <c r="AH235" t="s">
        <v>58</v>
      </c>
      <c r="AI235">
        <v>3192.3090000000002</v>
      </c>
      <c r="AJ235">
        <v>2.3325749999999998</v>
      </c>
      <c r="AK235">
        <v>37900000000</v>
      </c>
      <c r="AL235">
        <v>22.76671</v>
      </c>
      <c r="AM235">
        <v>20.269020000000001</v>
      </c>
      <c r="AN235">
        <v>-6.8073370000000004</v>
      </c>
      <c r="AO235">
        <v>90.322239999999994</v>
      </c>
      <c r="AP235">
        <v>70.669039999999995</v>
      </c>
      <c r="AQ235">
        <v>-5.0882040000000002</v>
      </c>
      <c r="AR235">
        <v>10.219569999999999</v>
      </c>
      <c r="AS235">
        <v>1.276294</v>
      </c>
      <c r="AT235">
        <v>1.9865029999999999</v>
      </c>
      <c r="AU235">
        <v>0.65448110000000004</v>
      </c>
      <c r="AV235">
        <v>1.9865029999999999</v>
      </c>
      <c r="AW235">
        <v>24.358160000000002</v>
      </c>
      <c r="AX235">
        <v>1.31</v>
      </c>
      <c r="AY235">
        <v>1.9811021121168799</v>
      </c>
      <c r="AZ235" s="1">
        <v>0.26150000095367398</v>
      </c>
      <c r="BA235" s="1">
        <v>0.18899999558925601</v>
      </c>
      <c r="BB235" s="1">
        <v>0.45050001144409202</v>
      </c>
      <c r="BC235" s="1">
        <v>2.3537328</v>
      </c>
      <c r="BD235" s="2">
        <v>67.329266996119998</v>
      </c>
      <c r="BE235" s="2">
        <f t="shared" si="6"/>
        <v>1.9011370536900074</v>
      </c>
      <c r="BF235" s="2">
        <f t="shared" si="7"/>
        <v>2.7461013405644348</v>
      </c>
      <c r="BH235" s="3"/>
      <c r="BJ235" s="3">
        <v>21093</v>
      </c>
      <c r="BM235" s="3">
        <v>455.52789999999999</v>
      </c>
      <c r="BN235">
        <v>225.62789999999998</v>
      </c>
      <c r="BO235">
        <v>98.141757285776407</v>
      </c>
      <c r="BP235">
        <v>7349497130.8059902</v>
      </c>
      <c r="BQ235">
        <v>132290844.55022049</v>
      </c>
      <c r="BR235">
        <v>1.8329924253675718</v>
      </c>
      <c r="BS235">
        <v>3.2169530000000002</v>
      </c>
      <c r="BT235">
        <v>4.372528</v>
      </c>
      <c r="BU235">
        <v>2.4209647086181001E-2</v>
      </c>
    </row>
    <row r="236" spans="1:73" x14ac:dyDescent="0.2">
      <c r="A236">
        <v>207</v>
      </c>
      <c r="B236" t="s">
        <v>79</v>
      </c>
      <c r="C236">
        <v>2002</v>
      </c>
      <c r="D236">
        <v>9</v>
      </c>
      <c r="E236">
        <v>0</v>
      </c>
      <c r="F236" t="s">
        <v>80</v>
      </c>
      <c r="G236">
        <v>0.78249999999999997</v>
      </c>
      <c r="H236">
        <v>1</v>
      </c>
      <c r="I236">
        <v>1.2370000000000001</v>
      </c>
      <c r="J236">
        <v>0.72699999999999998</v>
      </c>
      <c r="K236">
        <v>2.472</v>
      </c>
      <c r="L236">
        <v>1.8939999999999999</v>
      </c>
      <c r="M236">
        <v>0.66300000000000003</v>
      </c>
      <c r="N236">
        <v>0.48699999999999999</v>
      </c>
      <c r="O236">
        <v>-0.80900000000000005</v>
      </c>
      <c r="P236">
        <v>4.4269999999999996</v>
      </c>
      <c r="Q236">
        <v>0</v>
      </c>
      <c r="R236">
        <v>5980.2</v>
      </c>
      <c r="S236">
        <v>1.5069999999999999</v>
      </c>
      <c r="T236">
        <v>8.1300000000000008</v>
      </c>
      <c r="W236" t="s">
        <v>54</v>
      </c>
      <c r="X236" t="s">
        <v>55</v>
      </c>
      <c r="Y236" t="s">
        <v>59</v>
      </c>
      <c r="Z236">
        <v>0.38</v>
      </c>
      <c r="AA236">
        <v>0.55400000000000005</v>
      </c>
      <c r="AB236">
        <v>113</v>
      </c>
      <c r="AC236">
        <v>6</v>
      </c>
      <c r="AD236">
        <v>18.69248</v>
      </c>
      <c r="AE236">
        <v>-90.532799999999995</v>
      </c>
      <c r="AF236">
        <v>14.6248</v>
      </c>
      <c r="AG236" t="s">
        <v>57</v>
      </c>
      <c r="AH236" t="s">
        <v>58</v>
      </c>
      <c r="AI236">
        <v>3239.567</v>
      </c>
      <c r="AJ236">
        <v>3.8392870000000001</v>
      </c>
      <c r="AK236">
        <v>39400000000</v>
      </c>
      <c r="AL236">
        <v>21.56157</v>
      </c>
      <c r="AM236">
        <v>18.69248</v>
      </c>
      <c r="AN236">
        <v>-6.0402149999999999</v>
      </c>
      <c r="AO236">
        <v>89.568070000000006</v>
      </c>
      <c r="AP236">
        <v>67.104810000000001</v>
      </c>
      <c r="AQ236">
        <v>-4.9744989999999998</v>
      </c>
      <c r="AR236">
        <v>9.8209320000000009</v>
      </c>
      <c r="AS236">
        <v>1.5067120000000001</v>
      </c>
      <c r="AT236">
        <v>2.095561</v>
      </c>
      <c r="AU236">
        <v>0.65448110000000004</v>
      </c>
      <c r="AV236">
        <v>2.095561</v>
      </c>
      <c r="AW236">
        <v>24.39583</v>
      </c>
      <c r="AX236">
        <v>0.84000019999999997</v>
      </c>
      <c r="AY236">
        <v>1.9811021121168799</v>
      </c>
      <c r="AZ236" s="1">
        <v>0.26150000095367398</v>
      </c>
      <c r="BA236" s="1">
        <v>0.18899999558925601</v>
      </c>
      <c r="BB236" s="1">
        <v>0.45050001144409202</v>
      </c>
      <c r="BC236" s="1">
        <v>2.3537328</v>
      </c>
      <c r="BD236" s="2">
        <v>63.961618578066002</v>
      </c>
      <c r="BE236" s="2">
        <f t="shared" si="6"/>
        <v>3.3676484180539958</v>
      </c>
      <c r="BF236" s="2">
        <f t="shared" si="7"/>
        <v>5.001760108643488</v>
      </c>
      <c r="BG236">
        <v>47977</v>
      </c>
      <c r="BH236" s="3">
        <v>2395</v>
      </c>
      <c r="BI236">
        <v>5.2542670352332062</v>
      </c>
      <c r="BJ236" s="3">
        <v>22413</v>
      </c>
      <c r="BK236">
        <v>1320</v>
      </c>
      <c r="BL236">
        <v>6.2580002844545586</v>
      </c>
      <c r="BM236" s="3">
        <v>110.6168</v>
      </c>
      <c r="BN236">
        <v>344.91109999999998</v>
      </c>
      <c r="BO236">
        <v>75.716789246059349</v>
      </c>
      <c r="BP236">
        <v>8031651931.3489799</v>
      </c>
      <c r="BQ236">
        <v>682154800.54298973</v>
      </c>
      <c r="BR236">
        <v>9.2816527226561494</v>
      </c>
      <c r="BS236">
        <v>0.39863589999999999</v>
      </c>
      <c r="BT236">
        <v>1.07453</v>
      </c>
      <c r="BU236">
        <v>1.09873942757388</v>
      </c>
    </row>
    <row r="237" spans="1:73" x14ac:dyDescent="0.2">
      <c r="A237">
        <v>208</v>
      </c>
      <c r="B237" t="s">
        <v>79</v>
      </c>
      <c r="C237">
        <v>2003</v>
      </c>
      <c r="D237">
        <v>9</v>
      </c>
      <c r="E237">
        <v>0</v>
      </c>
      <c r="F237" t="s">
        <v>80</v>
      </c>
      <c r="G237">
        <v>0.78249999999999997</v>
      </c>
      <c r="H237">
        <v>1</v>
      </c>
      <c r="I237">
        <v>1.2370000000000001</v>
      </c>
      <c r="J237">
        <v>0.72699999999999998</v>
      </c>
      <c r="K237">
        <v>2.472</v>
      </c>
      <c r="L237">
        <v>1.8939999999999999</v>
      </c>
      <c r="M237">
        <v>0.66300000000000003</v>
      </c>
      <c r="N237">
        <v>0.48699999999999999</v>
      </c>
      <c r="O237">
        <v>-0.58299999999999996</v>
      </c>
      <c r="P237">
        <v>4.6120000000000001</v>
      </c>
      <c r="Q237">
        <v>1</v>
      </c>
      <c r="R237">
        <v>6004.1</v>
      </c>
      <c r="S237">
        <v>0.31900000000000001</v>
      </c>
      <c r="T237">
        <v>5.6</v>
      </c>
      <c r="U237">
        <v>2.81</v>
      </c>
      <c r="W237" t="s">
        <v>54</v>
      </c>
      <c r="X237" t="s">
        <v>55</v>
      </c>
      <c r="Y237" t="s">
        <v>59</v>
      </c>
      <c r="Z237">
        <v>0.38200000000000001</v>
      </c>
      <c r="AA237">
        <v>0.55800000000000005</v>
      </c>
      <c r="AB237">
        <v>158</v>
      </c>
      <c r="AC237">
        <v>6</v>
      </c>
      <c r="AD237">
        <v>21.038440000000001</v>
      </c>
      <c r="AE237">
        <v>-90.532799999999995</v>
      </c>
      <c r="AF237">
        <v>14.6248</v>
      </c>
      <c r="AG237" t="s">
        <v>57</v>
      </c>
      <c r="AH237" t="s">
        <v>58</v>
      </c>
      <c r="AI237">
        <v>3250.8409999999999</v>
      </c>
      <c r="AJ237">
        <v>2.560378</v>
      </c>
      <c r="AK237">
        <v>40400000000</v>
      </c>
      <c r="AL237">
        <v>26.654409999999999</v>
      </c>
      <c r="AM237">
        <v>21.038440000000001</v>
      </c>
      <c r="AN237">
        <v>-4.816319</v>
      </c>
      <c r="AO237">
        <v>88.834850000000003</v>
      </c>
      <c r="AP237">
        <v>67.002340000000004</v>
      </c>
      <c r="AQ237">
        <v>9.0324000000000002E-2</v>
      </c>
      <c r="AR237">
        <v>9.7524160000000002</v>
      </c>
      <c r="AS237">
        <v>1.2789090000000001</v>
      </c>
      <c r="AT237">
        <v>1.7227669999999999</v>
      </c>
      <c r="AU237">
        <v>0.339889</v>
      </c>
      <c r="AV237">
        <v>1.7227669999999999</v>
      </c>
      <c r="AW237">
        <v>24.421109999999999</v>
      </c>
      <c r="AX237">
        <v>2.5299999999999998</v>
      </c>
      <c r="AY237">
        <v>2.1605526441162501</v>
      </c>
      <c r="AZ237" s="1">
        <v>0.38599997758865401</v>
      </c>
      <c r="BA237" s="1">
        <v>0.22699999809265101</v>
      </c>
      <c r="BB237" s="1">
        <v>0.61299997568130504</v>
      </c>
      <c r="BC237" s="1">
        <v>2.3537328</v>
      </c>
      <c r="BD237" s="2">
        <v>63.925688698061002</v>
      </c>
      <c r="BE237" s="2">
        <f t="shared" si="6"/>
        <v>3.5929880004999859E-2</v>
      </c>
      <c r="BF237" s="2">
        <f t="shared" si="7"/>
        <v>5.6174125676865048E-2</v>
      </c>
      <c r="BG237">
        <v>54072</v>
      </c>
      <c r="BH237" s="3">
        <v>6095</v>
      </c>
      <c r="BI237">
        <v>12.704004001917585</v>
      </c>
      <c r="BJ237" s="3">
        <v>26770</v>
      </c>
      <c r="BK237">
        <v>4357</v>
      </c>
      <c r="BL237">
        <v>19.439610940079419</v>
      </c>
      <c r="BM237" s="3">
        <v>131.00919999999999</v>
      </c>
      <c r="BN237">
        <v>20.392399999999995</v>
      </c>
      <c r="BO237">
        <v>18.435174403888013</v>
      </c>
      <c r="BP237">
        <v>7780673792.7697897</v>
      </c>
      <c r="BQ237">
        <v>250978138.57919025</v>
      </c>
      <c r="BR237">
        <v>3.1248632376557244</v>
      </c>
      <c r="BS237">
        <v>6.85167E-2</v>
      </c>
      <c r="BT237">
        <v>0.84348029999999996</v>
      </c>
      <c r="BU237">
        <v>1.94221972728654</v>
      </c>
    </row>
    <row r="238" spans="1:73" x14ac:dyDescent="0.2">
      <c r="A238">
        <v>209</v>
      </c>
      <c r="B238" t="s">
        <v>79</v>
      </c>
      <c r="C238">
        <v>2004</v>
      </c>
      <c r="D238">
        <v>9</v>
      </c>
      <c r="E238">
        <v>1</v>
      </c>
      <c r="F238" t="s">
        <v>80</v>
      </c>
      <c r="G238">
        <v>0.78249999999999997</v>
      </c>
      <c r="H238">
        <v>0</v>
      </c>
      <c r="I238">
        <v>0.73899999999999999</v>
      </c>
      <c r="J238">
        <v>0.86</v>
      </c>
      <c r="K238">
        <v>1.911</v>
      </c>
      <c r="L238">
        <v>2.06</v>
      </c>
      <c r="M238">
        <v>0.70399999999999996</v>
      </c>
      <c r="N238">
        <v>0.77</v>
      </c>
      <c r="O238">
        <v>-0.73899999999999999</v>
      </c>
      <c r="P238">
        <v>5.1289999999999996</v>
      </c>
      <c r="Q238">
        <v>0</v>
      </c>
      <c r="R238">
        <v>6070.2</v>
      </c>
      <c r="S238">
        <v>0.98199999999999998</v>
      </c>
      <c r="T238">
        <v>7.58</v>
      </c>
      <c r="U238">
        <v>2.97</v>
      </c>
      <c r="W238" t="s">
        <v>54</v>
      </c>
      <c r="X238" t="s">
        <v>55</v>
      </c>
      <c r="Y238" t="s">
        <v>59</v>
      </c>
      <c r="Z238">
        <v>0.40100000000000002</v>
      </c>
      <c r="AA238">
        <v>0.57899999999999996</v>
      </c>
      <c r="AB238">
        <v>158</v>
      </c>
      <c r="AC238">
        <v>6</v>
      </c>
      <c r="AD238">
        <v>22.144459999999999</v>
      </c>
      <c r="AE238">
        <v>-90.532799999999995</v>
      </c>
      <c r="AF238">
        <v>14.6248</v>
      </c>
      <c r="AG238" t="s">
        <v>57</v>
      </c>
      <c r="AH238" t="s">
        <v>58</v>
      </c>
      <c r="AI238">
        <v>3282.3209999999999</v>
      </c>
      <c r="AJ238">
        <v>3.1379169999999998</v>
      </c>
      <c r="AK238">
        <v>41600000000</v>
      </c>
      <c r="AL238">
        <v>26.630849999999999</v>
      </c>
      <c r="AM238">
        <v>22.144459999999999</v>
      </c>
      <c r="AN238">
        <v>-4.9386520000000003</v>
      </c>
      <c r="AO238">
        <v>87.89264</v>
      </c>
      <c r="AP238">
        <v>70.214870000000005</v>
      </c>
      <c r="AQ238">
        <v>1.3631759999999999</v>
      </c>
      <c r="AR238">
        <v>8.9066310000000009</v>
      </c>
      <c r="AS238">
        <v>0.57753920000000003</v>
      </c>
      <c r="AT238">
        <v>2.0255130000000001</v>
      </c>
      <c r="AU238">
        <v>0.54612110000000003</v>
      </c>
      <c r="AV238">
        <v>2.0255130000000001</v>
      </c>
      <c r="AW238">
        <v>24.452010000000001</v>
      </c>
      <c r="AX238">
        <v>1.98</v>
      </c>
      <c r="AY238">
        <v>2.03668413530252</v>
      </c>
      <c r="AZ238" s="1">
        <v>0.38599997758865401</v>
      </c>
      <c r="BA238" s="1">
        <v>0.22699999809265101</v>
      </c>
      <c r="BB238" s="1">
        <v>0.61299997568130504</v>
      </c>
      <c r="BC238" s="1">
        <v>4.451498</v>
      </c>
      <c r="BD238" s="2">
        <v>66.949141147923996</v>
      </c>
      <c r="BE238" s="2">
        <f t="shared" si="6"/>
        <v>3.0234524498629938</v>
      </c>
      <c r="BF238" s="2">
        <f t="shared" si="7"/>
        <v>4.7296361000404854</v>
      </c>
      <c r="BG238">
        <v>58479</v>
      </c>
      <c r="BH238" s="3">
        <v>4407</v>
      </c>
      <c r="BI238">
        <v>8.1502441189525072</v>
      </c>
      <c r="BJ238" s="3">
        <v>28818</v>
      </c>
      <c r="BK238">
        <v>2048</v>
      </c>
      <c r="BL238">
        <v>7.6503548748599179</v>
      </c>
      <c r="BM238" s="3">
        <v>254.81209999999999</v>
      </c>
      <c r="BN238">
        <v>123.80289999999999</v>
      </c>
      <c r="BO238">
        <v>94.499393935693064</v>
      </c>
      <c r="BP238">
        <v>7690212985.3024197</v>
      </c>
      <c r="BQ238">
        <v>90460807.467370033</v>
      </c>
      <c r="BR238">
        <v>1.1626346236418621</v>
      </c>
      <c r="BS238">
        <v>0.84578419999999999</v>
      </c>
      <c r="BT238">
        <v>1.7136819999999999</v>
      </c>
      <c r="BU238">
        <v>3.65590137304561</v>
      </c>
    </row>
    <row r="239" spans="1:73" x14ac:dyDescent="0.2">
      <c r="A239">
        <v>210</v>
      </c>
      <c r="B239" t="s">
        <v>79</v>
      </c>
      <c r="C239">
        <v>2005</v>
      </c>
      <c r="D239">
        <v>9</v>
      </c>
      <c r="E239">
        <v>0</v>
      </c>
      <c r="F239" t="s">
        <v>80</v>
      </c>
      <c r="G239">
        <v>0.78249999999999997</v>
      </c>
      <c r="H239">
        <v>0</v>
      </c>
      <c r="I239">
        <v>0.73899999999999999</v>
      </c>
      <c r="J239">
        <v>0.86</v>
      </c>
      <c r="K239">
        <v>1.911</v>
      </c>
      <c r="L239">
        <v>2.06</v>
      </c>
      <c r="M239">
        <v>0.70399999999999996</v>
      </c>
      <c r="N239">
        <v>0.77</v>
      </c>
      <c r="O239">
        <v>-0.73899999999999999</v>
      </c>
      <c r="P239">
        <v>4.3959999999999999</v>
      </c>
      <c r="Q239">
        <v>0</v>
      </c>
      <c r="R239">
        <v>6130.5</v>
      </c>
      <c r="S239">
        <v>1.137</v>
      </c>
      <c r="T239">
        <v>9.11</v>
      </c>
      <c r="W239" t="s">
        <v>54</v>
      </c>
      <c r="X239" t="s">
        <v>55</v>
      </c>
      <c r="Y239" t="s">
        <v>59</v>
      </c>
      <c r="Z239">
        <v>0.39900000000000002</v>
      </c>
      <c r="AA239">
        <v>0.57899999999999996</v>
      </c>
      <c r="AB239">
        <v>158</v>
      </c>
      <c r="AC239">
        <v>6</v>
      </c>
      <c r="AD239">
        <v>21.602119999999999</v>
      </c>
      <c r="AE239">
        <v>-90.532799999999995</v>
      </c>
      <c r="AF239">
        <v>14.6248</v>
      </c>
      <c r="AG239" t="s">
        <v>57</v>
      </c>
      <c r="AH239" t="s">
        <v>58</v>
      </c>
      <c r="AI239">
        <v>3320.1640000000002</v>
      </c>
      <c r="AJ239">
        <v>3.276027</v>
      </c>
      <c r="AK239">
        <v>43000000000</v>
      </c>
      <c r="AL239">
        <v>25.766439999999999</v>
      </c>
      <c r="AM239">
        <v>21.602119999999999</v>
      </c>
      <c r="AN239">
        <v>-4.6334419999999996</v>
      </c>
      <c r="AO239">
        <v>86.644930000000002</v>
      </c>
      <c r="AP239">
        <v>67.103700000000003</v>
      </c>
      <c r="AQ239">
        <v>2.0161630000000001</v>
      </c>
      <c r="AR239">
        <v>8.6135249999999992</v>
      </c>
      <c r="AS239">
        <v>0.13811019999999999</v>
      </c>
      <c r="AT239">
        <v>2.2093729999999998</v>
      </c>
      <c r="AU239">
        <v>0.54612110000000003</v>
      </c>
      <c r="AV239">
        <v>2.2093729999999998</v>
      </c>
      <c r="AW239">
        <v>24.48424</v>
      </c>
      <c r="AX239">
        <v>1.53</v>
      </c>
      <c r="AY239">
        <v>2.03668413530252</v>
      </c>
      <c r="AZ239" s="1">
        <v>0.38599997758865401</v>
      </c>
      <c r="BA239" s="1">
        <v>0.22699999809265101</v>
      </c>
      <c r="BB239" s="1">
        <v>0.61299997568130504</v>
      </c>
      <c r="BC239" s="1">
        <v>4.451498</v>
      </c>
      <c r="BD239" s="2">
        <v>64.063594525552006</v>
      </c>
      <c r="BE239" s="2">
        <f t="shared" si="6"/>
        <v>2.8855466223719901</v>
      </c>
      <c r="BF239" s="2">
        <f t="shared" si="7"/>
        <v>4.3100577138045439</v>
      </c>
      <c r="BG239">
        <v>69149</v>
      </c>
      <c r="BH239" s="3">
        <v>10670</v>
      </c>
      <c r="BI239">
        <v>18.245866037380939</v>
      </c>
      <c r="BJ239" s="3">
        <v>33644</v>
      </c>
      <c r="BK239">
        <v>4826</v>
      </c>
      <c r="BL239">
        <v>16.746477895759593</v>
      </c>
      <c r="BM239" s="3">
        <v>470.2</v>
      </c>
      <c r="BN239">
        <v>215.3879</v>
      </c>
      <c r="BO239">
        <v>84.52812876625562</v>
      </c>
      <c r="BP239">
        <v>8019004311.7450895</v>
      </c>
      <c r="BQ239">
        <v>328791326.44266987</v>
      </c>
      <c r="BR239">
        <v>4.2754515001217497</v>
      </c>
      <c r="BS239">
        <v>0.29310609999999998</v>
      </c>
      <c r="BT239">
        <v>0.1080542</v>
      </c>
      <c r="BU239">
        <v>3.5478473814289702</v>
      </c>
    </row>
    <row r="240" spans="1:73" x14ac:dyDescent="0.2">
      <c r="A240">
        <v>211</v>
      </c>
      <c r="B240" t="s">
        <v>79</v>
      </c>
      <c r="C240">
        <v>2006</v>
      </c>
      <c r="D240">
        <v>9</v>
      </c>
      <c r="E240">
        <v>0</v>
      </c>
      <c r="F240" t="s">
        <v>80</v>
      </c>
      <c r="G240">
        <v>0.78249999999999997</v>
      </c>
      <c r="H240">
        <v>0</v>
      </c>
      <c r="I240">
        <v>0.73899999999999999</v>
      </c>
      <c r="J240">
        <v>0.86</v>
      </c>
      <c r="K240">
        <v>1.911</v>
      </c>
      <c r="L240">
        <v>2.06</v>
      </c>
      <c r="M240">
        <v>0.70399999999999996</v>
      </c>
      <c r="N240">
        <v>0.77</v>
      </c>
      <c r="O240">
        <v>-0.73899999999999999</v>
      </c>
      <c r="P240">
        <v>4.1150000000000002</v>
      </c>
      <c r="Q240">
        <v>0</v>
      </c>
      <c r="R240">
        <v>6305.8</v>
      </c>
      <c r="S240">
        <v>3.266</v>
      </c>
      <c r="T240">
        <v>6.56</v>
      </c>
      <c r="U240">
        <v>1.9</v>
      </c>
      <c r="V240">
        <v>54.6</v>
      </c>
      <c r="W240" t="s">
        <v>54</v>
      </c>
      <c r="X240" t="s">
        <v>55</v>
      </c>
      <c r="Y240" t="s">
        <v>59</v>
      </c>
      <c r="Z240">
        <v>0.4</v>
      </c>
      <c r="AA240">
        <v>0.57899999999999996</v>
      </c>
      <c r="AB240">
        <v>158</v>
      </c>
      <c r="AC240">
        <v>6</v>
      </c>
      <c r="AD240">
        <v>22.234770000000001</v>
      </c>
      <c r="AE240">
        <v>-90.532799999999995</v>
      </c>
      <c r="AF240">
        <v>14.6248</v>
      </c>
      <c r="AG240" t="s">
        <v>57</v>
      </c>
      <c r="AH240" t="s">
        <v>58</v>
      </c>
      <c r="AI240">
        <v>3427.6779999999999</v>
      </c>
      <c r="AJ240">
        <v>5.3513979999999997</v>
      </c>
      <c r="AK240">
        <v>45300000000</v>
      </c>
      <c r="AL240">
        <v>28.828489999999999</v>
      </c>
      <c r="AM240">
        <v>22.234770000000001</v>
      </c>
      <c r="AN240">
        <v>-5.123659</v>
      </c>
      <c r="AO240">
        <v>85.151600000000002</v>
      </c>
      <c r="AP240">
        <v>67.911929999999998</v>
      </c>
      <c r="AQ240">
        <v>2.135866</v>
      </c>
      <c r="AR240">
        <v>8.5069689999999998</v>
      </c>
      <c r="AS240">
        <v>2.0753710000000001</v>
      </c>
      <c r="AT240">
        <v>1.8809910000000001</v>
      </c>
      <c r="AU240">
        <v>0.54612110000000003</v>
      </c>
      <c r="AV240">
        <v>1.8809910000000001</v>
      </c>
      <c r="AW240">
        <v>24.536380000000001</v>
      </c>
      <c r="AX240">
        <v>2.5499999999999998</v>
      </c>
      <c r="AY240">
        <v>2.03668413530252</v>
      </c>
      <c r="AZ240" s="1">
        <v>0.38599997758865401</v>
      </c>
      <c r="BA240" s="1">
        <v>0.22699999809265101</v>
      </c>
      <c r="BB240" s="1">
        <v>0.61299997568130504</v>
      </c>
      <c r="BC240" s="1">
        <v>4.451498</v>
      </c>
      <c r="BD240" s="2">
        <v>64.838419383870999</v>
      </c>
      <c r="BE240" s="2">
        <f t="shared" si="6"/>
        <v>0.77482485831899339</v>
      </c>
      <c r="BF240" s="2">
        <f t="shared" si="7"/>
        <v>1.2094620416747792</v>
      </c>
      <c r="BG240">
        <v>80945</v>
      </c>
      <c r="BH240" s="3">
        <v>11796</v>
      </c>
      <c r="BI240">
        <v>17.058815022632288</v>
      </c>
      <c r="BJ240" s="3">
        <v>40016</v>
      </c>
      <c r="BK240">
        <v>6372</v>
      </c>
      <c r="BL240">
        <v>18.939484009035787</v>
      </c>
      <c r="BM240" s="3">
        <v>551.79999999999995</v>
      </c>
      <c r="BN240">
        <v>81.599999999999966</v>
      </c>
      <c r="BO240">
        <v>17.354317311782214</v>
      </c>
      <c r="BP240">
        <v>9280533751.7850895</v>
      </c>
      <c r="BQ240">
        <v>1261529440.04</v>
      </c>
      <c r="BR240">
        <v>15.731746623359365</v>
      </c>
      <c r="BS240">
        <v>0.1065559</v>
      </c>
      <c r="BT240">
        <v>0.57219929999999997</v>
      </c>
      <c r="BU240">
        <v>4.1200466372221998</v>
      </c>
    </row>
    <row r="241" spans="1:73" x14ac:dyDescent="0.2">
      <c r="A241">
        <v>212</v>
      </c>
      <c r="B241" t="s">
        <v>79</v>
      </c>
      <c r="C241">
        <v>2007</v>
      </c>
      <c r="D241">
        <v>9</v>
      </c>
      <c r="E241">
        <v>0</v>
      </c>
      <c r="F241" t="s">
        <v>80</v>
      </c>
      <c r="G241">
        <v>0.78249999999999997</v>
      </c>
      <c r="H241">
        <v>0</v>
      </c>
      <c r="I241">
        <v>0.73899999999999999</v>
      </c>
      <c r="J241">
        <v>0.86</v>
      </c>
      <c r="K241">
        <v>1.911</v>
      </c>
      <c r="L241">
        <v>2.06</v>
      </c>
      <c r="M241">
        <v>0.70399999999999996</v>
      </c>
      <c r="N241">
        <v>0.77</v>
      </c>
      <c r="O241">
        <v>-0.73899999999999999</v>
      </c>
      <c r="P241">
        <v>3.71</v>
      </c>
      <c r="Q241">
        <v>1</v>
      </c>
      <c r="R241">
        <v>6545.8</v>
      </c>
      <c r="S241">
        <v>4.2240000000000002</v>
      </c>
      <c r="T241">
        <v>6.82</v>
      </c>
      <c r="W241" t="s">
        <v>54</v>
      </c>
      <c r="X241" t="s">
        <v>55</v>
      </c>
      <c r="Y241" t="s">
        <v>59</v>
      </c>
      <c r="Z241">
        <v>0.40600000000000003</v>
      </c>
      <c r="AA241">
        <v>0.58399999999999996</v>
      </c>
      <c r="AB241">
        <v>158</v>
      </c>
      <c r="AC241">
        <v>10.72</v>
      </c>
      <c r="AD241">
        <v>21.986999999999998</v>
      </c>
      <c r="AE241">
        <v>-90.532799999999995</v>
      </c>
      <c r="AF241">
        <v>14.6248</v>
      </c>
      <c r="AG241" t="s">
        <v>57</v>
      </c>
      <c r="AH241" t="s">
        <v>58</v>
      </c>
      <c r="AI241">
        <v>3573.6</v>
      </c>
      <c r="AJ241">
        <v>6.3377179999999997</v>
      </c>
      <c r="AK241">
        <v>48200000000</v>
      </c>
      <c r="AL241">
        <v>28.641030000000001</v>
      </c>
      <c r="AM241">
        <v>21.986999999999998</v>
      </c>
      <c r="AN241">
        <v>-5.3193729999999997</v>
      </c>
      <c r="AO241">
        <v>83.337130000000002</v>
      </c>
      <c r="AP241">
        <v>69.001369999999994</v>
      </c>
      <c r="AQ241">
        <v>2.5595910000000002</v>
      </c>
      <c r="AR241">
        <v>8.7986880000000003</v>
      </c>
      <c r="AS241">
        <v>0.98632050000000004</v>
      </c>
      <c r="AT241">
        <v>1.9198599999999999</v>
      </c>
      <c r="AU241">
        <v>0.54612110000000003</v>
      </c>
      <c r="AV241">
        <v>1.9198599999999999</v>
      </c>
      <c r="AW241">
        <v>24.597819999999999</v>
      </c>
      <c r="AX241">
        <v>0.26000020000000001</v>
      </c>
      <c r="AY241">
        <v>2.03668413530252</v>
      </c>
      <c r="AZ241" s="1">
        <v>0.216000005602837</v>
      </c>
      <c r="BA241" s="1">
        <v>0.187000006437302</v>
      </c>
      <c r="BB241" s="1">
        <v>0.402999997138977</v>
      </c>
      <c r="BC241" s="1">
        <v>4.451498</v>
      </c>
      <c r="BD241" s="2">
        <v>65.870931973056997</v>
      </c>
      <c r="BE241" s="2">
        <f t="shared" si="6"/>
        <v>1.0325125891859983</v>
      </c>
      <c r="BF241" s="2">
        <f t="shared" si="7"/>
        <v>1.5924394810938942</v>
      </c>
      <c r="BG241">
        <v>88617</v>
      </c>
      <c r="BH241" s="3">
        <v>7672</v>
      </c>
      <c r="BI241">
        <v>9.4780406448823271</v>
      </c>
      <c r="BJ241" s="3">
        <v>44912</v>
      </c>
      <c r="BK241">
        <v>4896</v>
      </c>
      <c r="BL241">
        <v>12.235105957616954</v>
      </c>
      <c r="BM241" s="3">
        <v>719.7</v>
      </c>
      <c r="BN241">
        <v>167.90000000000009</v>
      </c>
      <c r="BO241">
        <v>30.427691192461051</v>
      </c>
      <c r="BP241">
        <v>9740162816.5946693</v>
      </c>
      <c r="BQ241">
        <v>459629064.80957985</v>
      </c>
      <c r="BR241">
        <v>4.9526145489333651</v>
      </c>
      <c r="BS241">
        <v>0.29171849999999999</v>
      </c>
      <c r="BT241">
        <v>0.30101109999999998</v>
      </c>
      <c r="BU241">
        <v>3.81903550835669</v>
      </c>
    </row>
    <row r="242" spans="1:73" x14ac:dyDescent="0.2">
      <c r="A242">
        <v>213</v>
      </c>
      <c r="B242" t="s">
        <v>79</v>
      </c>
      <c r="C242">
        <v>2008</v>
      </c>
      <c r="D242">
        <v>9</v>
      </c>
      <c r="E242">
        <v>1</v>
      </c>
      <c r="F242" t="s">
        <v>80</v>
      </c>
      <c r="G242">
        <v>0.78249999999999997</v>
      </c>
      <c r="H242">
        <v>0</v>
      </c>
      <c r="I242">
        <v>0.68700000000000006</v>
      </c>
      <c r="J242">
        <v>0.872</v>
      </c>
      <c r="K242">
        <v>1.8420000000000001</v>
      </c>
      <c r="L242">
        <v>2.0750000000000002</v>
      </c>
      <c r="M242">
        <v>0.66200000000000003</v>
      </c>
      <c r="N242">
        <v>0.82599999999999996</v>
      </c>
      <c r="O242">
        <v>-0.73899999999999999</v>
      </c>
      <c r="P242">
        <v>3.9489999999999998</v>
      </c>
      <c r="Q242">
        <v>0</v>
      </c>
      <c r="R242">
        <v>6604.7</v>
      </c>
      <c r="S242">
        <v>1.3089999999999999</v>
      </c>
      <c r="T242">
        <v>11.36</v>
      </c>
      <c r="W242" t="s">
        <v>54</v>
      </c>
      <c r="X242" t="s">
        <v>55</v>
      </c>
      <c r="Y242" t="s">
        <v>59</v>
      </c>
      <c r="Z242">
        <v>0.41099999999999998</v>
      </c>
      <c r="AA242">
        <v>0.58799999999999997</v>
      </c>
      <c r="AB242">
        <v>158</v>
      </c>
      <c r="AC242">
        <v>10.72</v>
      </c>
      <c r="AD242">
        <v>20.383410000000001</v>
      </c>
      <c r="AE242">
        <v>-90.532799999999995</v>
      </c>
      <c r="AF242">
        <v>14.6248</v>
      </c>
      <c r="AG242" t="s">
        <v>57</v>
      </c>
      <c r="AH242" t="s">
        <v>58</v>
      </c>
      <c r="AI242">
        <v>3620.8310000000001</v>
      </c>
      <c r="AJ242">
        <v>3.2935240000000001</v>
      </c>
      <c r="AK242">
        <v>49800000000</v>
      </c>
      <c r="AL242">
        <v>27.76136</v>
      </c>
      <c r="AM242">
        <v>20.383410000000001</v>
      </c>
      <c r="AN242">
        <v>-4.0348230000000003</v>
      </c>
      <c r="AO242">
        <v>81.336519999999993</v>
      </c>
      <c r="AP242">
        <v>65.178730000000002</v>
      </c>
      <c r="AQ242">
        <v>1.8995150000000001</v>
      </c>
      <c r="AR242">
        <v>9.1613450000000007</v>
      </c>
      <c r="AS242">
        <v>3.0441940000000001</v>
      </c>
      <c r="AT242">
        <v>2.4300980000000001</v>
      </c>
      <c r="AU242">
        <v>0.54612110000000003</v>
      </c>
      <c r="AV242">
        <v>2.4300980000000001</v>
      </c>
      <c r="AW242">
        <v>24.630230000000001</v>
      </c>
      <c r="AX242">
        <v>4.5399989999999999</v>
      </c>
      <c r="AY242">
        <v>2.03668413530252</v>
      </c>
      <c r="AZ242" s="1">
        <v>0.216000005602837</v>
      </c>
      <c r="BA242" s="1">
        <v>0.187000006437302</v>
      </c>
      <c r="BB242" s="1">
        <v>0.402999997138977</v>
      </c>
      <c r="BC242" s="1">
        <v>4.9888089999999998</v>
      </c>
      <c r="BD242" s="2">
        <v>62.171033647066999</v>
      </c>
      <c r="BE242" s="2">
        <f t="shared" si="6"/>
        <v>3.6998983259899987</v>
      </c>
      <c r="BF242" s="2">
        <f t="shared" si="7"/>
        <v>5.6168908123288102</v>
      </c>
      <c r="BG242">
        <v>95135</v>
      </c>
      <c r="BH242" s="3">
        <v>6518</v>
      </c>
      <c r="BI242">
        <v>7.3552478644052499</v>
      </c>
      <c r="BJ242" s="3">
        <v>47506</v>
      </c>
      <c r="BK242">
        <v>2594</v>
      </c>
      <c r="BL242">
        <v>5.7757392233701461</v>
      </c>
      <c r="BM242" s="3">
        <v>720.57389999999998</v>
      </c>
      <c r="BN242">
        <v>0.87389999999993506</v>
      </c>
      <c r="BO242">
        <v>0.12142559399748992</v>
      </c>
      <c r="BP242">
        <v>9171785795.2388</v>
      </c>
      <c r="BQ242">
        <v>568377021.35586929</v>
      </c>
      <c r="BR242">
        <v>5.835395486279805</v>
      </c>
      <c r="BS242">
        <v>0.36265750000000002</v>
      </c>
      <c r="BT242">
        <v>1.8394440000000001</v>
      </c>
      <c r="BU242">
        <v>1.9795919274906999</v>
      </c>
    </row>
    <row r="243" spans="1:73" x14ac:dyDescent="0.2">
      <c r="A243">
        <v>214</v>
      </c>
      <c r="B243" t="s">
        <v>79</v>
      </c>
      <c r="C243">
        <v>2009</v>
      </c>
      <c r="D243">
        <v>9</v>
      </c>
      <c r="E243">
        <v>0</v>
      </c>
      <c r="F243" t="s">
        <v>80</v>
      </c>
      <c r="G243">
        <v>0.78249999999999997</v>
      </c>
      <c r="H243">
        <v>1</v>
      </c>
      <c r="I243">
        <v>0.68700000000000006</v>
      </c>
      <c r="J243">
        <v>0.872</v>
      </c>
      <c r="K243">
        <v>1.8420000000000001</v>
      </c>
      <c r="L243">
        <v>2.0750000000000002</v>
      </c>
      <c r="M243">
        <v>0.66200000000000003</v>
      </c>
      <c r="N243">
        <v>0.82599999999999996</v>
      </c>
      <c r="O243">
        <v>-0.73899999999999999</v>
      </c>
      <c r="P243">
        <v>4.1959999999999997</v>
      </c>
      <c r="Q243">
        <v>0</v>
      </c>
      <c r="R243">
        <v>6488.7</v>
      </c>
      <c r="S243">
        <v>-1.347</v>
      </c>
      <c r="T243">
        <v>1.86</v>
      </c>
      <c r="W243" t="s">
        <v>54</v>
      </c>
      <c r="X243" t="s">
        <v>55</v>
      </c>
      <c r="Y243" t="s">
        <v>59</v>
      </c>
      <c r="Z243">
        <v>0.41</v>
      </c>
      <c r="AA243">
        <v>0.58299999999999996</v>
      </c>
      <c r="AB243">
        <v>158</v>
      </c>
      <c r="AC243">
        <v>10.72</v>
      </c>
      <c r="AD243">
        <v>23.393969999999999</v>
      </c>
      <c r="AE243">
        <v>-90.532799999999995</v>
      </c>
      <c r="AF243">
        <v>14.6248</v>
      </c>
      <c r="AG243" t="s">
        <v>57</v>
      </c>
      <c r="AH243" t="s">
        <v>58</v>
      </c>
      <c r="AI243">
        <v>3570.3029999999999</v>
      </c>
      <c r="AJ243">
        <v>0.47689809999999999</v>
      </c>
      <c r="AK243">
        <v>50000000000</v>
      </c>
      <c r="AL243">
        <v>25.756360000000001</v>
      </c>
      <c r="AM243">
        <v>23.393969999999999</v>
      </c>
      <c r="AN243">
        <v>0.1946426</v>
      </c>
      <c r="AO243">
        <v>79.351020000000005</v>
      </c>
      <c r="AP243">
        <v>58.040689999999998</v>
      </c>
      <c r="AQ243">
        <v>1.3462860000000001</v>
      </c>
      <c r="AR243">
        <v>10.34563</v>
      </c>
      <c r="AS243">
        <v>2.8166259999999999</v>
      </c>
      <c r="AT243">
        <v>0.62057649999999998</v>
      </c>
      <c r="AU243">
        <v>0.54612110000000003</v>
      </c>
      <c r="AV243">
        <v>0.62057649999999998</v>
      </c>
      <c r="AW243">
        <v>24.634989999999998</v>
      </c>
      <c r="AX243">
        <v>9.5</v>
      </c>
      <c r="AY243">
        <v>2.03668413530252</v>
      </c>
      <c r="AZ243" s="1">
        <v>0.216000005602837</v>
      </c>
      <c r="BA243" s="1">
        <v>0.187000006437302</v>
      </c>
      <c r="BB243" s="1">
        <v>0.402999997138977</v>
      </c>
      <c r="BC243" s="1">
        <v>4.9888089999999998</v>
      </c>
      <c r="BD243" s="2">
        <v>55.231227364266999</v>
      </c>
      <c r="BE243" s="2">
        <f t="shared" si="6"/>
        <v>6.9398062827999993</v>
      </c>
      <c r="BF243" s="2">
        <f t="shared" si="7"/>
        <v>11.162443143853688</v>
      </c>
      <c r="BG243">
        <v>103050</v>
      </c>
      <c r="BH243" s="3">
        <v>7915</v>
      </c>
      <c r="BI243">
        <v>8.3197561360172383</v>
      </c>
      <c r="BJ243" s="3">
        <v>50029</v>
      </c>
      <c r="BK243">
        <v>2523</v>
      </c>
      <c r="BL243">
        <v>5.3109080958194754</v>
      </c>
      <c r="BM243" s="3">
        <v>491.31720000000001</v>
      </c>
      <c r="BN243">
        <v>229.25669999999997</v>
      </c>
      <c r="BO243">
        <v>31.815848450797343</v>
      </c>
      <c r="BP243">
        <v>7967657035.4558601</v>
      </c>
      <c r="BQ243">
        <v>1204128759.7829399</v>
      </c>
      <c r="BR243">
        <v>13.12861842464768</v>
      </c>
      <c r="BS243">
        <v>1.184285</v>
      </c>
      <c r="BT243">
        <v>6.4440980000000003</v>
      </c>
      <c r="BU243">
        <v>-4.4645067939594201</v>
      </c>
    </row>
    <row r="244" spans="1:73" x14ac:dyDescent="0.2">
      <c r="A244">
        <v>215</v>
      </c>
      <c r="B244" t="s">
        <v>79</v>
      </c>
      <c r="C244">
        <v>2010</v>
      </c>
      <c r="D244">
        <v>9</v>
      </c>
      <c r="E244">
        <v>0</v>
      </c>
      <c r="F244" t="s">
        <v>80</v>
      </c>
      <c r="G244">
        <v>0.78249999999999997</v>
      </c>
      <c r="H244">
        <v>0</v>
      </c>
      <c r="I244">
        <v>0.68700000000000006</v>
      </c>
      <c r="J244">
        <v>0.872</v>
      </c>
      <c r="K244">
        <v>1.8420000000000001</v>
      </c>
      <c r="L244">
        <v>2.0750000000000002</v>
      </c>
      <c r="M244">
        <v>0.66200000000000003</v>
      </c>
      <c r="N244">
        <v>0.82599999999999996</v>
      </c>
      <c r="O244">
        <v>-0.73899999999999999</v>
      </c>
      <c r="P244">
        <v>4.7629999999999999</v>
      </c>
      <c r="Q244">
        <v>0</v>
      </c>
      <c r="R244">
        <v>6526.5</v>
      </c>
      <c r="S244">
        <v>0.997</v>
      </c>
      <c r="T244">
        <v>3.86</v>
      </c>
      <c r="U244">
        <v>3.5</v>
      </c>
      <c r="W244" t="s">
        <v>54</v>
      </c>
      <c r="X244" t="s">
        <v>55</v>
      </c>
      <c r="Y244" t="s">
        <v>59</v>
      </c>
      <c r="Z244">
        <v>0.41299999999999998</v>
      </c>
      <c r="AA244">
        <v>0.59099999999999997</v>
      </c>
      <c r="AB244">
        <v>158</v>
      </c>
      <c r="AC244">
        <v>10.72</v>
      </c>
      <c r="AD244">
        <v>24.816960000000002</v>
      </c>
      <c r="AE244">
        <v>-90.532799999999995</v>
      </c>
      <c r="AF244">
        <v>14.6248</v>
      </c>
      <c r="AG244" t="s">
        <v>57</v>
      </c>
      <c r="AH244" t="s">
        <v>58</v>
      </c>
      <c r="AI244">
        <v>3606.431</v>
      </c>
      <c r="AJ244">
        <v>2.8841760000000001</v>
      </c>
      <c r="AK244">
        <v>51400000000</v>
      </c>
      <c r="AL244">
        <v>24.218060000000001</v>
      </c>
      <c r="AM244">
        <v>24.816960000000002</v>
      </c>
      <c r="AN244">
        <v>-1.8854919999999999</v>
      </c>
      <c r="AO244">
        <v>77.482759999999999</v>
      </c>
      <c r="AP244">
        <v>63.125190000000003</v>
      </c>
      <c r="AQ244">
        <v>2.7103169999999999</v>
      </c>
      <c r="AR244">
        <v>10.64625</v>
      </c>
      <c r="AS244">
        <v>2.4072770000000001</v>
      </c>
      <c r="AT244">
        <v>1.3506670000000001</v>
      </c>
      <c r="AU244">
        <v>0.54612110000000003</v>
      </c>
      <c r="AV244">
        <v>1.3506670000000001</v>
      </c>
      <c r="AW244">
        <v>24.663419999999999</v>
      </c>
      <c r="AX244">
        <v>2</v>
      </c>
      <c r="AY244">
        <v>2.03668413530252</v>
      </c>
      <c r="AZ244" s="1">
        <v>0.216000005602837</v>
      </c>
      <c r="BA244" s="1">
        <v>0.187000006437302</v>
      </c>
      <c r="BB244" s="1">
        <v>0.402999997138977</v>
      </c>
      <c r="BC244" s="1">
        <v>4.9888089999999998</v>
      </c>
      <c r="BD244" s="2">
        <v>60.094402292144999</v>
      </c>
      <c r="BE244" s="2">
        <f t="shared" si="6"/>
        <v>4.8631749278779992</v>
      </c>
      <c r="BF244" s="2">
        <f t="shared" si="7"/>
        <v>8.8051183360526437</v>
      </c>
      <c r="BG244">
        <v>113524</v>
      </c>
      <c r="BH244" s="3">
        <v>10474</v>
      </c>
      <c r="BI244">
        <v>10.163998059194565</v>
      </c>
      <c r="BJ244" s="3">
        <v>54557</v>
      </c>
      <c r="BK244">
        <v>4528</v>
      </c>
      <c r="BL244">
        <v>9.0507505646724908</v>
      </c>
      <c r="BM244" s="3">
        <v>607.98850000000004</v>
      </c>
      <c r="BN244">
        <v>116.67130000000003</v>
      </c>
      <c r="BO244">
        <v>23.746634557064159</v>
      </c>
      <c r="BP244">
        <v>7803052819.6020899</v>
      </c>
      <c r="BQ244">
        <v>164604215.85377026</v>
      </c>
      <c r="BR244">
        <v>2.0659048842248846</v>
      </c>
      <c r="BS244">
        <v>0.30061719999999997</v>
      </c>
      <c r="BT244">
        <v>6.1168129999999996</v>
      </c>
      <c r="BU244">
        <v>1.6523064168164201</v>
      </c>
    </row>
    <row r="245" spans="1:73" x14ac:dyDescent="0.2">
      <c r="A245">
        <v>216</v>
      </c>
      <c r="B245" t="s">
        <v>79</v>
      </c>
      <c r="C245">
        <v>2011</v>
      </c>
      <c r="D245">
        <v>9</v>
      </c>
      <c r="E245">
        <v>0</v>
      </c>
      <c r="F245" t="s">
        <v>80</v>
      </c>
      <c r="G245">
        <v>0.78249999999999997</v>
      </c>
      <c r="H245">
        <v>0</v>
      </c>
      <c r="I245">
        <v>0.68700000000000006</v>
      </c>
      <c r="J245">
        <v>0.872</v>
      </c>
      <c r="K245">
        <v>1.8420000000000001</v>
      </c>
      <c r="L245">
        <v>2.0750000000000002</v>
      </c>
      <c r="M245">
        <v>0.66200000000000003</v>
      </c>
      <c r="N245">
        <v>0.82599999999999996</v>
      </c>
      <c r="O245">
        <v>-0.73899999999999999</v>
      </c>
      <c r="P245">
        <v>5.1509999999999998</v>
      </c>
      <c r="Q245">
        <v>1</v>
      </c>
      <c r="R245">
        <v>6650</v>
      </c>
      <c r="S245">
        <v>2.2839999999999998</v>
      </c>
      <c r="T245">
        <v>6.21</v>
      </c>
      <c r="U245">
        <v>4.13</v>
      </c>
      <c r="W245" t="s">
        <v>54</v>
      </c>
      <c r="X245" t="s">
        <v>55</v>
      </c>
      <c r="Y245" t="s">
        <v>59</v>
      </c>
      <c r="Z245">
        <v>0.40799999999999997</v>
      </c>
      <c r="AA245">
        <v>0.58699999999999997</v>
      </c>
      <c r="AB245">
        <v>158</v>
      </c>
      <c r="AC245">
        <v>10.72</v>
      </c>
      <c r="AD245">
        <v>24.563960000000002</v>
      </c>
      <c r="AE245">
        <v>-90.532799999999995</v>
      </c>
      <c r="AF245">
        <v>14.6248</v>
      </c>
      <c r="AG245" t="s">
        <v>57</v>
      </c>
      <c r="AH245" t="s">
        <v>58</v>
      </c>
      <c r="AI245">
        <v>3688.866</v>
      </c>
      <c r="AJ245">
        <v>4.163907</v>
      </c>
      <c r="AK245">
        <v>53600000000</v>
      </c>
      <c r="AL245">
        <v>23.963940000000001</v>
      </c>
      <c r="AM245">
        <v>24.563960000000002</v>
      </c>
      <c r="AN245">
        <v>-3.370234</v>
      </c>
      <c r="AO245">
        <v>75.45026</v>
      </c>
      <c r="AP245">
        <v>65.047049999999999</v>
      </c>
      <c r="AQ245">
        <v>1.8703780000000001</v>
      </c>
      <c r="AR245">
        <v>10.35848</v>
      </c>
      <c r="AS245">
        <v>1.2797320000000001</v>
      </c>
      <c r="AT245">
        <v>1.8261609999999999</v>
      </c>
      <c r="AU245">
        <v>0.54612110000000003</v>
      </c>
      <c r="AV245">
        <v>1.8261609999999999</v>
      </c>
      <c r="AW245">
        <v>24.704219999999999</v>
      </c>
      <c r="AX245">
        <v>2.35</v>
      </c>
      <c r="AY245">
        <v>2.03668413530252</v>
      </c>
      <c r="AZ245" s="1">
        <v>0.54600000381469704</v>
      </c>
      <c r="BA245" s="1">
        <v>0.159500002861023</v>
      </c>
      <c r="BB245" s="1">
        <v>0.70550000667571999</v>
      </c>
      <c r="BC245" s="1">
        <v>4.5805499999999997</v>
      </c>
      <c r="BD245" s="2">
        <v>61.899892501690999</v>
      </c>
      <c r="BE245" s="2">
        <f t="shared" si="6"/>
        <v>1.8054902095460008</v>
      </c>
      <c r="BF245" s="2">
        <f t="shared" si="7"/>
        <v>3.0044232751808204</v>
      </c>
      <c r="BG245">
        <v>124062</v>
      </c>
      <c r="BH245" s="3">
        <v>10538</v>
      </c>
      <c r="BI245">
        <v>9.2826186533244073</v>
      </c>
      <c r="BJ245" s="3">
        <v>58610</v>
      </c>
      <c r="BK245">
        <v>4053</v>
      </c>
      <c r="BL245">
        <v>7.4289275436699231</v>
      </c>
      <c r="BM245" s="3">
        <v>1139.5730000000001</v>
      </c>
      <c r="BN245">
        <v>531.58450000000005</v>
      </c>
      <c r="BO245">
        <v>87.433314939345067</v>
      </c>
      <c r="BP245">
        <v>8357495129.3039703</v>
      </c>
      <c r="BQ245">
        <v>554442309.70188046</v>
      </c>
      <c r="BR245">
        <v>7.105453756625395</v>
      </c>
      <c r="BS245">
        <v>0.28776449999999998</v>
      </c>
      <c r="BT245">
        <v>0.18515809999999999</v>
      </c>
      <c r="BU245">
        <v>1.8374645522131301</v>
      </c>
    </row>
    <row r="246" spans="1:73" x14ac:dyDescent="0.2">
      <c r="A246">
        <v>217</v>
      </c>
      <c r="B246" t="s">
        <v>79</v>
      </c>
      <c r="C246">
        <v>2012</v>
      </c>
      <c r="D246">
        <v>9</v>
      </c>
      <c r="E246">
        <v>1</v>
      </c>
      <c r="F246" t="s">
        <v>80</v>
      </c>
      <c r="G246">
        <v>0.78249999999999997</v>
      </c>
      <c r="H246">
        <v>0</v>
      </c>
      <c r="I246">
        <v>0.70399999999999996</v>
      </c>
      <c r="J246">
        <v>0.60199999999999998</v>
      </c>
      <c r="K246">
        <v>1.865</v>
      </c>
      <c r="L246">
        <v>1.724</v>
      </c>
      <c r="M246">
        <v>0.72199999999999998</v>
      </c>
      <c r="N246">
        <v>0.67900000000000005</v>
      </c>
      <c r="O246">
        <v>-0.73899999999999999</v>
      </c>
      <c r="P246">
        <v>5.1509999999999998</v>
      </c>
      <c r="Q246">
        <v>0</v>
      </c>
      <c r="R246">
        <v>6714</v>
      </c>
      <c r="S246">
        <v>1.1559999999999999</v>
      </c>
      <c r="T246">
        <v>3.78</v>
      </c>
      <c r="U246">
        <v>2.76</v>
      </c>
      <c r="W246" t="s">
        <v>54</v>
      </c>
      <c r="X246" t="s">
        <v>55</v>
      </c>
      <c r="Y246" t="s">
        <v>59</v>
      </c>
      <c r="Z246">
        <v>0.39900000000000002</v>
      </c>
      <c r="AA246">
        <v>0.57399999999999995</v>
      </c>
      <c r="AB246">
        <v>158</v>
      </c>
      <c r="AC246">
        <v>10.72</v>
      </c>
      <c r="AD246">
        <v>24.70074</v>
      </c>
      <c r="AE246">
        <v>-90.532799999999995</v>
      </c>
      <c r="AF246">
        <v>14.6248</v>
      </c>
      <c r="AG246" t="s">
        <v>57</v>
      </c>
      <c r="AH246" t="s">
        <v>58</v>
      </c>
      <c r="AI246">
        <v>3731.6759999999999</v>
      </c>
      <c r="AJ246">
        <v>2.9747089999999998</v>
      </c>
      <c r="AK246">
        <v>55200000000</v>
      </c>
      <c r="AL246">
        <v>32.172080000000001</v>
      </c>
      <c r="AM246">
        <v>24.70074</v>
      </c>
      <c r="AN246">
        <v>-3.724799</v>
      </c>
      <c r="AO246">
        <v>73.649150000000006</v>
      </c>
      <c r="AP246">
        <v>61.959420000000001</v>
      </c>
      <c r="AQ246">
        <v>2.8225609999999999</v>
      </c>
      <c r="AR246">
        <v>10.513500000000001</v>
      </c>
      <c r="AS246">
        <v>1.189198</v>
      </c>
      <c r="AT246">
        <v>1.3297239999999999</v>
      </c>
      <c r="AU246">
        <v>0.54612110000000003</v>
      </c>
      <c r="AV246">
        <v>1.3297239999999999</v>
      </c>
      <c r="AW246">
        <v>24.733529999999998</v>
      </c>
      <c r="AX246">
        <v>2.4300000000000002</v>
      </c>
      <c r="AY246">
        <v>2.03668413530252</v>
      </c>
      <c r="AZ246" s="1">
        <v>0.54600000381469704</v>
      </c>
      <c r="BA246" s="1">
        <v>0.159500002861023</v>
      </c>
      <c r="BB246" s="1">
        <v>0.70550000667571999</v>
      </c>
      <c r="BC246" s="1">
        <v>4.5805499999999997</v>
      </c>
      <c r="BD246" s="2">
        <v>59.030750040081003</v>
      </c>
      <c r="BE246" s="2">
        <f t="shared" si="6"/>
        <v>2.8691424616099965</v>
      </c>
      <c r="BF246" s="2">
        <f t="shared" si="7"/>
        <v>4.6351331894988617</v>
      </c>
      <c r="BG246">
        <v>136673</v>
      </c>
      <c r="BH246" s="3">
        <v>12611</v>
      </c>
      <c r="BI246">
        <v>10.165078750947107</v>
      </c>
      <c r="BJ246" s="3">
        <v>62962</v>
      </c>
      <c r="BK246">
        <v>4352</v>
      </c>
      <c r="BL246">
        <v>7.4253540351475857</v>
      </c>
      <c r="BM246" s="3">
        <v>1226.2352000000001</v>
      </c>
      <c r="BN246">
        <v>86.662199999999984</v>
      </c>
      <c r="BO246">
        <v>7.6047958314210646</v>
      </c>
      <c r="BP246">
        <v>8659107102.9804707</v>
      </c>
      <c r="BQ246">
        <v>301611973.67650032</v>
      </c>
      <c r="BR246">
        <v>3.6088800413290723</v>
      </c>
      <c r="BS246">
        <v>0.15501980000000001</v>
      </c>
      <c r="BT246">
        <v>0.3628035</v>
      </c>
      <c r="BU246">
        <v>2.2002680259298701</v>
      </c>
    </row>
    <row r="247" spans="1:73" x14ac:dyDescent="0.2">
      <c r="A247">
        <v>218</v>
      </c>
      <c r="B247" t="s">
        <v>79</v>
      </c>
      <c r="C247">
        <v>2013</v>
      </c>
      <c r="D247">
        <v>9</v>
      </c>
      <c r="E247">
        <v>0</v>
      </c>
      <c r="F247" t="s">
        <v>80</v>
      </c>
      <c r="G247">
        <v>0.78249999999999997</v>
      </c>
      <c r="H247">
        <v>0</v>
      </c>
      <c r="I247">
        <v>0.70399999999999996</v>
      </c>
      <c r="J247">
        <v>0.60199999999999998</v>
      </c>
      <c r="K247">
        <v>1.865</v>
      </c>
      <c r="L247">
        <v>1.724</v>
      </c>
      <c r="M247">
        <v>0.72199999999999998</v>
      </c>
      <c r="N247">
        <v>0.67900000000000005</v>
      </c>
      <c r="O247">
        <v>-0.73899999999999999</v>
      </c>
      <c r="P247">
        <v>4.5359999999999996</v>
      </c>
      <c r="Q247">
        <v>0</v>
      </c>
      <c r="R247">
        <v>6829</v>
      </c>
      <c r="S247">
        <v>1.891</v>
      </c>
      <c r="T247">
        <v>4.34</v>
      </c>
      <c r="U247">
        <v>3.02</v>
      </c>
      <c r="W247" t="s">
        <v>54</v>
      </c>
      <c r="X247" t="s">
        <v>55</v>
      </c>
      <c r="Y247" t="s">
        <v>59</v>
      </c>
      <c r="Z247">
        <v>0.42599999999999999</v>
      </c>
      <c r="AA247">
        <v>0.58099999999999996</v>
      </c>
      <c r="AB247">
        <v>158</v>
      </c>
      <c r="AC247">
        <v>10.72</v>
      </c>
      <c r="AD247">
        <v>25.209949999999999</v>
      </c>
      <c r="AE247">
        <v>-90.532799999999995</v>
      </c>
      <c r="AF247">
        <v>14.6248</v>
      </c>
      <c r="AG247" t="s">
        <v>57</v>
      </c>
      <c r="AH247" t="s">
        <v>58</v>
      </c>
      <c r="AI247">
        <v>3802.154</v>
      </c>
      <c r="AJ247">
        <v>3.6948189999999999</v>
      </c>
      <c r="AK247">
        <v>57200000000</v>
      </c>
      <c r="AL247">
        <v>33.130940000000002</v>
      </c>
      <c r="AM247">
        <v>25.209949999999999</v>
      </c>
      <c r="AN247">
        <v>-4.2243909999999998</v>
      </c>
      <c r="AO247">
        <v>71.992500000000007</v>
      </c>
      <c r="AP247">
        <v>56.685220000000001</v>
      </c>
      <c r="AQ247">
        <v>2.8721559999999999</v>
      </c>
      <c r="AR247">
        <v>11.28795</v>
      </c>
      <c r="AS247">
        <v>0.72011069999999999</v>
      </c>
      <c r="AT247">
        <v>1.4678739999999999</v>
      </c>
      <c r="AU247">
        <v>0.54612110000000003</v>
      </c>
      <c r="AV247">
        <v>1.4678739999999999</v>
      </c>
      <c r="AW247">
        <v>24.76981</v>
      </c>
      <c r="AX247">
        <v>0.56000019999999995</v>
      </c>
      <c r="AY247">
        <v>2.03668413530252</v>
      </c>
      <c r="AZ247" s="1">
        <v>0.54600000381469704</v>
      </c>
      <c r="BA247" s="1">
        <v>0.159500002861023</v>
      </c>
      <c r="BB247" s="1">
        <v>0.70550000667571999</v>
      </c>
      <c r="BC247" s="1">
        <v>4.5805499999999997</v>
      </c>
      <c r="BD247" s="2">
        <v>56.685221244786</v>
      </c>
      <c r="BE247" s="2">
        <f t="shared" si="6"/>
        <v>2.345528795295003</v>
      </c>
      <c r="BF247" s="2">
        <f t="shared" si="7"/>
        <v>3.9734016486363868</v>
      </c>
      <c r="BG247">
        <v>148078</v>
      </c>
      <c r="BH247" s="3">
        <v>11405</v>
      </c>
      <c r="BI247">
        <v>8.3447352439764995</v>
      </c>
      <c r="BJ247" s="3">
        <v>65258</v>
      </c>
      <c r="BK247">
        <v>2296</v>
      </c>
      <c r="BL247">
        <v>3.6466440074965853</v>
      </c>
      <c r="BM247" s="3">
        <v>1448.8588</v>
      </c>
      <c r="BN247">
        <v>222.6235999999999</v>
      </c>
      <c r="BO247">
        <v>18.155048884585916</v>
      </c>
      <c r="BP247">
        <v>8788062601.9165192</v>
      </c>
      <c r="BQ247">
        <v>128955498.93604851</v>
      </c>
      <c r="BR247">
        <v>1.489247071348291</v>
      </c>
      <c r="BS247">
        <v>0.77444550000000001</v>
      </c>
      <c r="BT247">
        <v>1.252631</v>
      </c>
      <c r="BU247">
        <v>0.94763713366876301</v>
      </c>
    </row>
    <row r="248" spans="1:73" x14ac:dyDescent="0.2">
      <c r="A248">
        <v>219</v>
      </c>
      <c r="B248" t="s">
        <v>79</v>
      </c>
      <c r="C248">
        <v>2014</v>
      </c>
      <c r="D248">
        <v>9</v>
      </c>
      <c r="E248">
        <v>0</v>
      </c>
      <c r="F248" t="s">
        <v>80</v>
      </c>
      <c r="G248">
        <v>0.78249999999999997</v>
      </c>
      <c r="H248">
        <v>0</v>
      </c>
      <c r="I248">
        <v>0.70399999999999996</v>
      </c>
      <c r="J248">
        <v>0.60199999999999998</v>
      </c>
      <c r="K248">
        <v>1.865</v>
      </c>
      <c r="L248">
        <v>1.724</v>
      </c>
      <c r="M248">
        <v>0.72199999999999998</v>
      </c>
      <c r="N248">
        <v>0.67900000000000005</v>
      </c>
      <c r="O248">
        <v>-0.73899999999999999</v>
      </c>
      <c r="P248">
        <v>4.5359999999999996</v>
      </c>
      <c r="Q248">
        <v>0</v>
      </c>
      <c r="R248">
        <v>6981</v>
      </c>
      <c r="S248">
        <v>2.6539999999999999</v>
      </c>
      <c r="T248">
        <v>3.42</v>
      </c>
      <c r="U248">
        <v>2.72</v>
      </c>
      <c r="V248">
        <v>48.3</v>
      </c>
      <c r="W248" t="s">
        <v>54</v>
      </c>
      <c r="X248" t="s">
        <v>55</v>
      </c>
      <c r="Y248" t="s">
        <v>59</v>
      </c>
      <c r="Z248">
        <v>0.42699999999999999</v>
      </c>
      <c r="AA248">
        <v>0.57899999999999996</v>
      </c>
      <c r="AB248">
        <v>158</v>
      </c>
      <c r="AC248">
        <v>10.72</v>
      </c>
      <c r="AD248">
        <v>23.647390000000001</v>
      </c>
      <c r="AE248">
        <v>-90.532799999999995</v>
      </c>
      <c r="AF248">
        <v>14.6248</v>
      </c>
      <c r="AG248" t="s">
        <v>57</v>
      </c>
      <c r="AH248" t="s">
        <v>58</v>
      </c>
      <c r="AI248">
        <v>3903.06</v>
      </c>
      <c r="AJ248">
        <v>4.4439770000000003</v>
      </c>
      <c r="AK248">
        <v>59700000000</v>
      </c>
      <c r="AL248">
        <v>33.49615</v>
      </c>
      <c r="AM248">
        <v>23.647390000000001</v>
      </c>
      <c r="AN248">
        <v>-3.300306</v>
      </c>
      <c r="AO248">
        <v>70.367410000000007</v>
      </c>
      <c r="AP248">
        <v>55.083280000000002</v>
      </c>
      <c r="AQ248">
        <v>2.433011</v>
      </c>
      <c r="AR248">
        <v>11.25539</v>
      </c>
      <c r="AS248">
        <v>0.74915810000000005</v>
      </c>
      <c r="AT248">
        <v>1.229641</v>
      </c>
      <c r="AU248">
        <v>0.54612110000000003</v>
      </c>
      <c r="AV248">
        <v>1.229641</v>
      </c>
      <c r="AW248">
        <v>24.813289999999999</v>
      </c>
      <c r="AX248">
        <v>0.92000009999999999</v>
      </c>
      <c r="AY248">
        <v>2.03668413530252</v>
      </c>
      <c r="AZ248" s="1">
        <v>0.54600000381469704</v>
      </c>
      <c r="BA248" s="1">
        <v>0.159500002861023</v>
      </c>
      <c r="BB248" s="1">
        <v>0.70550000667571999</v>
      </c>
      <c r="BC248" s="1">
        <v>4.5805499999999997</v>
      </c>
      <c r="BD248" s="2">
        <v>55.083279300210997</v>
      </c>
      <c r="BE248" s="2">
        <f t="shared" si="6"/>
        <v>1.6019419445750032</v>
      </c>
      <c r="BF248" s="2">
        <f t="shared" si="7"/>
        <v>2.8260310348922779</v>
      </c>
      <c r="BG248">
        <v>160799</v>
      </c>
      <c r="BH248" s="3">
        <v>12721</v>
      </c>
      <c r="BI248">
        <v>8.5907427166763455</v>
      </c>
      <c r="BJ248" s="3">
        <v>69801</v>
      </c>
      <c r="BK248">
        <v>4543</v>
      </c>
      <c r="BL248">
        <v>6.9615985779521283</v>
      </c>
      <c r="BM248" s="3">
        <v>1387.7425000000001</v>
      </c>
      <c r="BN248">
        <v>61.11629999999991</v>
      </c>
      <c r="BO248">
        <v>4.2182371394645157</v>
      </c>
      <c r="BP248">
        <v>9168763498.8532009</v>
      </c>
      <c r="BQ248">
        <v>380700896.93668175</v>
      </c>
      <c r="BR248">
        <v>4.3320230428679203</v>
      </c>
      <c r="BS248">
        <v>3.25632E-2</v>
      </c>
      <c r="BT248">
        <v>0.30310219999999999</v>
      </c>
      <c r="BU248">
        <v>1.2507393681586501</v>
      </c>
    </row>
    <row r="249" spans="1:73" x14ac:dyDescent="0.2">
      <c r="A249">
        <v>220</v>
      </c>
      <c r="B249" t="s">
        <v>79</v>
      </c>
      <c r="C249">
        <v>2015</v>
      </c>
      <c r="D249">
        <v>9</v>
      </c>
      <c r="E249">
        <v>0</v>
      </c>
      <c r="F249" t="s">
        <v>80</v>
      </c>
      <c r="G249">
        <v>0.78249999999999997</v>
      </c>
      <c r="H249">
        <v>0</v>
      </c>
      <c r="I249">
        <v>0.70399999999999996</v>
      </c>
      <c r="J249">
        <v>0.60199999999999998</v>
      </c>
      <c r="K249">
        <v>1.865</v>
      </c>
      <c r="L249">
        <v>1.724</v>
      </c>
      <c r="M249">
        <v>0.72199999999999998</v>
      </c>
      <c r="N249">
        <v>0.67900000000000005</v>
      </c>
      <c r="O249">
        <v>-0.61599999999999999</v>
      </c>
      <c r="P249">
        <v>6.157</v>
      </c>
      <c r="Q249">
        <v>1</v>
      </c>
      <c r="R249">
        <v>7138</v>
      </c>
      <c r="S249">
        <v>2.3460000000000001</v>
      </c>
      <c r="T249">
        <v>2.39</v>
      </c>
      <c r="U249">
        <v>2.5099999999999998</v>
      </c>
      <c r="W249" t="s">
        <v>54</v>
      </c>
      <c r="X249" t="s">
        <v>55</v>
      </c>
      <c r="Y249" t="s">
        <v>59</v>
      </c>
      <c r="Z249">
        <v>0.44500000000000001</v>
      </c>
      <c r="AA249">
        <v>0.59499999999999997</v>
      </c>
      <c r="AB249">
        <v>158</v>
      </c>
      <c r="AC249">
        <v>10.72</v>
      </c>
      <c r="AD249">
        <v>23.57273</v>
      </c>
      <c r="AE249">
        <v>-90.532799999999995</v>
      </c>
      <c r="AF249">
        <v>14.6248</v>
      </c>
      <c r="AG249" t="s">
        <v>57</v>
      </c>
      <c r="AH249" t="s">
        <v>58</v>
      </c>
      <c r="AI249">
        <v>3994.6370000000002</v>
      </c>
      <c r="AJ249">
        <v>4.0921709999999996</v>
      </c>
      <c r="AK249">
        <v>62200000000</v>
      </c>
      <c r="AL249">
        <v>35.262210000000003</v>
      </c>
      <c r="AM249">
        <v>23.57273</v>
      </c>
      <c r="AN249">
        <v>-1.244308</v>
      </c>
      <c r="AO249">
        <v>68.74503</v>
      </c>
      <c r="AP249">
        <v>49.893450000000001</v>
      </c>
      <c r="AQ249">
        <v>1.935084</v>
      </c>
      <c r="AR249">
        <v>11.08811</v>
      </c>
      <c r="AS249">
        <v>0.35180660000000002</v>
      </c>
      <c r="AT249">
        <v>0.8712934</v>
      </c>
      <c r="AU249">
        <v>0.37945600000000002</v>
      </c>
      <c r="AV249">
        <v>0.8712934</v>
      </c>
      <c r="AW249">
        <v>24.853400000000001</v>
      </c>
      <c r="AX249">
        <v>1.03</v>
      </c>
      <c r="AY249">
        <v>2.13434969032873</v>
      </c>
      <c r="AZ249" s="1">
        <v>0.53400003910064697</v>
      </c>
      <c r="BA249" s="1">
        <v>0.16449999809265101</v>
      </c>
      <c r="BB249" s="1">
        <v>0.69850003719329801</v>
      </c>
      <c r="BC249" s="1">
        <v>4.5805499999999997</v>
      </c>
      <c r="BD249" s="2">
        <v>49.893453260480001</v>
      </c>
      <c r="BE249" s="2">
        <f t="shared" si="6"/>
        <v>5.1898260397309954</v>
      </c>
      <c r="BF249" s="2">
        <f t="shared" si="7"/>
        <v>9.4217811750926668</v>
      </c>
      <c r="BG249">
        <v>177961</v>
      </c>
      <c r="BH249" s="3">
        <v>17162</v>
      </c>
      <c r="BI249">
        <v>10.672951946218571</v>
      </c>
      <c r="BJ249" s="3">
        <v>76929</v>
      </c>
      <c r="BK249">
        <v>7128</v>
      </c>
      <c r="BL249">
        <v>10.211888081832639</v>
      </c>
      <c r="BM249" s="3">
        <v>1048.0920000000001</v>
      </c>
      <c r="BN249">
        <v>339.65049999999997</v>
      </c>
      <c r="BO249">
        <v>24.47503769611437</v>
      </c>
      <c r="BP249">
        <v>9027308002.8217602</v>
      </c>
      <c r="BQ249">
        <v>141455496.03144073</v>
      </c>
      <c r="BR249">
        <v>1.5427979579703799</v>
      </c>
      <c r="BS249">
        <v>0.16727729999999999</v>
      </c>
      <c r="BT249">
        <v>0.79664749999999995</v>
      </c>
      <c r="BU249">
        <v>2.0473868204983501</v>
      </c>
    </row>
    <row r="250" spans="1:73" x14ac:dyDescent="0.2">
      <c r="A250">
        <v>221</v>
      </c>
      <c r="B250" t="s">
        <v>79</v>
      </c>
      <c r="C250">
        <v>2016</v>
      </c>
      <c r="D250">
        <v>9</v>
      </c>
      <c r="E250">
        <v>1</v>
      </c>
      <c r="F250" t="s">
        <v>80</v>
      </c>
      <c r="G250">
        <v>0.78249999999999997</v>
      </c>
      <c r="H250">
        <v>0</v>
      </c>
      <c r="I250">
        <v>8.6999999999999994E-2</v>
      </c>
      <c r="J250">
        <v>8.7999999999999995E-2</v>
      </c>
      <c r="K250">
        <v>0.65500000000000003</v>
      </c>
      <c r="L250">
        <v>0.65900000000000003</v>
      </c>
      <c r="M250">
        <v>0.214</v>
      </c>
      <c r="N250">
        <v>0.20300000000000001</v>
      </c>
      <c r="O250">
        <v>-0.41399999999999998</v>
      </c>
      <c r="P250">
        <v>6.2969999999999997</v>
      </c>
      <c r="Q250">
        <v>0</v>
      </c>
      <c r="R250">
        <v>7221</v>
      </c>
      <c r="S250">
        <v>0.98899999999999999</v>
      </c>
      <c r="T250">
        <v>4.45</v>
      </c>
      <c r="U250">
        <v>2.58</v>
      </c>
      <c r="W250" t="s">
        <v>54</v>
      </c>
      <c r="X250" t="s">
        <v>55</v>
      </c>
      <c r="Y250" t="s">
        <v>59</v>
      </c>
      <c r="Z250">
        <v>0.47199999999999998</v>
      </c>
      <c r="AA250">
        <v>0.63300000000000001</v>
      </c>
      <c r="AB250">
        <v>158</v>
      </c>
      <c r="AC250">
        <v>10.72</v>
      </c>
      <c r="AD250">
        <v>22.988890000000001</v>
      </c>
      <c r="AE250">
        <v>-90.532799999999995</v>
      </c>
      <c r="AF250">
        <v>14.6248</v>
      </c>
      <c r="AG250" t="s">
        <v>57</v>
      </c>
      <c r="AH250" t="s">
        <v>58</v>
      </c>
      <c r="AI250">
        <v>4034.1579999999999</v>
      </c>
      <c r="AJ250">
        <v>2.6778029999999999</v>
      </c>
      <c r="AK250">
        <v>63900000000</v>
      </c>
      <c r="AL250">
        <v>35.702849999999998</v>
      </c>
      <c r="AM250">
        <v>22.988890000000001</v>
      </c>
      <c r="AN250">
        <v>0.96477170000000001</v>
      </c>
      <c r="AO250">
        <v>67.370009999999994</v>
      </c>
      <c r="AP250">
        <v>46.37274</v>
      </c>
      <c r="AQ250">
        <v>1.2804519999999999</v>
      </c>
      <c r="AR250">
        <v>10.44035</v>
      </c>
      <c r="AS250">
        <v>1.4143680000000001</v>
      </c>
      <c r="AT250">
        <v>1.492904</v>
      </c>
      <c r="AU250">
        <v>0.17139599999999999</v>
      </c>
      <c r="AV250">
        <v>1.492904</v>
      </c>
      <c r="AW250">
        <v>24.879819999999999</v>
      </c>
      <c r="AX250">
        <v>2.06</v>
      </c>
      <c r="AY250">
        <v>2.2947435286644402</v>
      </c>
      <c r="AZ250" s="1">
        <v>0.53400003910064697</v>
      </c>
      <c r="BA250" s="1">
        <v>0.16449999809265101</v>
      </c>
      <c r="BB250" s="1">
        <v>0.69850003719329801</v>
      </c>
      <c r="BC250" s="1">
        <v>6.0474810000000003</v>
      </c>
      <c r="BD250" s="2">
        <v>46.372737897584003</v>
      </c>
      <c r="BE250" s="2">
        <f t="shared" si="6"/>
        <v>3.5207153628959986</v>
      </c>
      <c r="BF250" s="2">
        <f t="shared" si="7"/>
        <v>7.0564675980941063</v>
      </c>
      <c r="BG250">
        <v>191351</v>
      </c>
      <c r="BH250" s="3">
        <v>13390</v>
      </c>
      <c r="BI250">
        <v>7.5241204533577584</v>
      </c>
      <c r="BJ250" s="3">
        <v>81587</v>
      </c>
      <c r="BK250">
        <v>4658</v>
      </c>
      <c r="BL250">
        <v>6.0549337700997024</v>
      </c>
      <c r="BM250" s="3">
        <v>964.99590000000001</v>
      </c>
      <c r="BN250">
        <v>83.096100000000092</v>
      </c>
      <c r="BO250">
        <v>7.9283211779118714</v>
      </c>
      <c r="BP250">
        <v>8871633067.6111794</v>
      </c>
      <c r="BQ250">
        <v>155674935.21058083</v>
      </c>
      <c r="BR250">
        <v>1.7244890188959974</v>
      </c>
      <c r="BS250">
        <v>0.64775559999999999</v>
      </c>
      <c r="BT250">
        <v>7.6193999999999998E-2</v>
      </c>
      <c r="BU250">
        <v>2.1235809908338998</v>
      </c>
    </row>
    <row r="251" spans="1:73" x14ac:dyDescent="0.2">
      <c r="A251">
        <v>222</v>
      </c>
      <c r="B251" t="s">
        <v>79</v>
      </c>
      <c r="C251">
        <v>2017</v>
      </c>
      <c r="D251">
        <v>9</v>
      </c>
      <c r="E251">
        <v>0</v>
      </c>
      <c r="F251" t="s">
        <v>80</v>
      </c>
      <c r="G251">
        <v>0.78249999999999997</v>
      </c>
      <c r="H251">
        <v>0</v>
      </c>
      <c r="I251">
        <v>8.6999999999999994E-2</v>
      </c>
      <c r="J251">
        <v>8.7999999999999995E-2</v>
      </c>
      <c r="K251">
        <v>0.65500000000000003</v>
      </c>
      <c r="L251">
        <v>0.65900000000000003</v>
      </c>
      <c r="M251">
        <v>0.214</v>
      </c>
      <c r="N251">
        <v>0.20300000000000001</v>
      </c>
      <c r="O251">
        <v>-0.41399999999999998</v>
      </c>
      <c r="P251">
        <v>5.9610000000000003</v>
      </c>
      <c r="Q251">
        <v>0</v>
      </c>
      <c r="R251">
        <v>7308.3</v>
      </c>
      <c r="S251">
        <v>1.36</v>
      </c>
      <c r="T251">
        <v>4.42</v>
      </c>
      <c r="U251">
        <v>2.46</v>
      </c>
      <c r="W251" t="s">
        <v>54</v>
      </c>
      <c r="X251" t="s">
        <v>55</v>
      </c>
      <c r="Y251" t="s">
        <v>59</v>
      </c>
      <c r="Z251">
        <v>0.46400000000000002</v>
      </c>
      <c r="AA251">
        <v>0.626</v>
      </c>
      <c r="AB251">
        <v>158</v>
      </c>
      <c r="AC251">
        <v>10.72</v>
      </c>
      <c r="AE251">
        <v>-90.532799999999995</v>
      </c>
      <c r="AF251">
        <v>14.6248</v>
      </c>
      <c r="AG251" t="s">
        <v>57</v>
      </c>
      <c r="AH251" t="s">
        <v>58</v>
      </c>
      <c r="AI251">
        <v>4091.268</v>
      </c>
      <c r="AJ251">
        <v>3.0798510000000001</v>
      </c>
      <c r="AK251">
        <v>65800000000</v>
      </c>
      <c r="AL251">
        <v>35.167639999999999</v>
      </c>
      <c r="AN251">
        <v>1.1961349999999999</v>
      </c>
      <c r="AO251">
        <v>65.967429999999993</v>
      </c>
      <c r="AP251">
        <v>46.069420000000001</v>
      </c>
      <c r="AQ251">
        <v>1.3932819999999999</v>
      </c>
      <c r="AR251">
        <v>10.57282</v>
      </c>
      <c r="AS251">
        <v>0.40204879999999998</v>
      </c>
      <c r="AT251">
        <v>1.48614</v>
      </c>
      <c r="AU251">
        <v>0.17139599999999999</v>
      </c>
      <c r="AV251">
        <v>1.48614</v>
      </c>
      <c r="AW251">
        <v>24.910160000000001</v>
      </c>
      <c r="AX251">
        <v>2.9999700000000001E-2</v>
      </c>
      <c r="AY251">
        <v>2.2947435286644402</v>
      </c>
      <c r="AZ251" s="1">
        <v>0.53400003910064697</v>
      </c>
      <c r="BA251" s="1">
        <v>0.16449999809265101</v>
      </c>
      <c r="BB251" s="1">
        <v>0.69850003719329801</v>
      </c>
      <c r="BC251" s="1" t="s">
        <v>101</v>
      </c>
      <c r="BD251" s="2">
        <v>46.069420513419999</v>
      </c>
      <c r="BE251" s="2">
        <f t="shared" si="6"/>
        <v>0.30331738416400356</v>
      </c>
      <c r="BF251" s="2">
        <f t="shared" si="7"/>
        <v>0.65408556387999306</v>
      </c>
      <c r="BG251">
        <v>209575</v>
      </c>
      <c r="BH251" s="3">
        <v>18224</v>
      </c>
      <c r="BI251">
        <v>9.5238592952218699</v>
      </c>
      <c r="BJ251" s="3">
        <v>89788</v>
      </c>
      <c r="BK251">
        <v>8201</v>
      </c>
      <c r="BL251">
        <v>10.051846495152414</v>
      </c>
      <c r="BM251" s="3">
        <v>934.06640000000004</v>
      </c>
      <c r="BN251">
        <v>30.929499999999962</v>
      </c>
      <c r="BO251">
        <v>3.2051431513854061</v>
      </c>
      <c r="BP251">
        <v>9233996969.2709007</v>
      </c>
      <c r="BQ251">
        <v>362363901.65972137</v>
      </c>
      <c r="BR251">
        <v>4.0845230962341113</v>
      </c>
      <c r="BS251">
        <v>0.13247010000000001</v>
      </c>
      <c r="BT251">
        <v>0.96003439999999995</v>
      </c>
      <c r="BU251">
        <v>3.08361521753868</v>
      </c>
    </row>
    <row r="252" spans="1:73" x14ac:dyDescent="0.2">
      <c r="A252">
        <v>223</v>
      </c>
      <c r="B252" t="s">
        <v>79</v>
      </c>
      <c r="C252">
        <v>2018</v>
      </c>
      <c r="D252">
        <v>9</v>
      </c>
      <c r="E252">
        <v>0</v>
      </c>
      <c r="F252" t="s">
        <v>80</v>
      </c>
      <c r="G252">
        <v>0.78249999999999997</v>
      </c>
      <c r="H252">
        <v>0</v>
      </c>
      <c r="I252">
        <v>8.6999999999999994E-2</v>
      </c>
      <c r="J252">
        <v>8.7999999999999995E-2</v>
      </c>
      <c r="K252">
        <v>0.65500000000000003</v>
      </c>
      <c r="L252">
        <v>0.65900000000000003</v>
      </c>
      <c r="M252">
        <v>0.214</v>
      </c>
      <c r="N252">
        <v>0.20300000000000001</v>
      </c>
      <c r="O252">
        <v>-0.41399999999999998</v>
      </c>
      <c r="P252">
        <v>6.0949999999999998</v>
      </c>
      <c r="Q252">
        <v>0</v>
      </c>
      <c r="R252">
        <v>7402.1</v>
      </c>
      <c r="S252">
        <v>1.5760000000000001</v>
      </c>
      <c r="T252">
        <v>3.75</v>
      </c>
      <c r="W252" t="s">
        <v>54</v>
      </c>
      <c r="X252" t="s">
        <v>55</v>
      </c>
      <c r="Y252" t="s">
        <v>59</v>
      </c>
      <c r="Z252">
        <v>0.42899999999999999</v>
      </c>
      <c r="AA252">
        <v>0.6</v>
      </c>
      <c r="AB252">
        <v>158</v>
      </c>
      <c r="AC252">
        <v>10.72</v>
      </c>
      <c r="AE252">
        <v>-90.532799999999995</v>
      </c>
      <c r="AF252">
        <v>14.6248</v>
      </c>
      <c r="AG252" t="s">
        <v>57</v>
      </c>
      <c r="AH252" t="s">
        <v>58</v>
      </c>
      <c r="AI252">
        <v>4160.0709999999999</v>
      </c>
      <c r="AJ252">
        <v>3.322098</v>
      </c>
      <c r="AK252">
        <v>68000000000</v>
      </c>
      <c r="AL252">
        <v>35.106090000000002</v>
      </c>
      <c r="AN252">
        <v>0.88727860000000003</v>
      </c>
      <c r="AO252">
        <v>64.602199999999996</v>
      </c>
      <c r="AP252">
        <v>47.088430000000002</v>
      </c>
      <c r="AQ252">
        <v>1.2599590000000001</v>
      </c>
      <c r="AR252">
        <v>11.08211</v>
      </c>
      <c r="AS252">
        <v>0.24224660000000001</v>
      </c>
      <c r="AT252">
        <v>1.3217559999999999</v>
      </c>
      <c r="AU252">
        <v>0.17139599999999999</v>
      </c>
      <c r="AV252">
        <v>1.3217559999999999</v>
      </c>
      <c r="AW252">
        <v>24.94284</v>
      </c>
      <c r="AX252">
        <v>0.67000009999999999</v>
      </c>
      <c r="AY252">
        <v>2.2947435286644402</v>
      </c>
      <c r="AZ252" s="1">
        <v>0.53400003910064697</v>
      </c>
      <c r="BA252" s="1">
        <v>0.16449999809265101</v>
      </c>
      <c r="BB252" s="1">
        <v>0.69850003719329801</v>
      </c>
      <c r="BC252" s="1" t="s">
        <v>101</v>
      </c>
      <c r="BD252" s="2">
        <v>47.011682068444998</v>
      </c>
      <c r="BE252" s="2">
        <f t="shared" si="6"/>
        <v>0.94226155502499864</v>
      </c>
      <c r="BF252" s="2">
        <f t="shared" si="7"/>
        <v>2.0453080254189833</v>
      </c>
      <c r="BG252">
        <v>228158</v>
      </c>
      <c r="BH252" s="3">
        <v>18583</v>
      </c>
      <c r="BI252">
        <v>8.8669927233687229</v>
      </c>
      <c r="BJ252" s="3">
        <v>97450</v>
      </c>
      <c r="BK252">
        <v>7662</v>
      </c>
      <c r="BL252">
        <v>8.53343431193478</v>
      </c>
      <c r="BM252" s="3">
        <v>780.13430000000005</v>
      </c>
      <c r="BN252">
        <v>153.93209999999999</v>
      </c>
      <c r="BO252">
        <v>16.479781308909086</v>
      </c>
      <c r="BP252">
        <v>9645459222.1492405</v>
      </c>
      <c r="BQ252">
        <v>411462252.87833977</v>
      </c>
      <c r="BR252">
        <v>4.4559496201657085</v>
      </c>
      <c r="BS252">
        <v>0.50928499999999999</v>
      </c>
      <c r="BT252">
        <v>0.95545170000000001</v>
      </c>
      <c r="BU252">
        <v>2.1281635729175998</v>
      </c>
    </row>
    <row r="253" spans="1:73" x14ac:dyDescent="0.2">
      <c r="A253">
        <v>224</v>
      </c>
      <c r="B253" t="s">
        <v>79</v>
      </c>
      <c r="C253">
        <v>2019</v>
      </c>
      <c r="D253">
        <v>9</v>
      </c>
      <c r="E253">
        <v>0</v>
      </c>
      <c r="F253" t="s">
        <v>80</v>
      </c>
      <c r="G253">
        <v>0.78249999999999997</v>
      </c>
      <c r="H253">
        <v>0</v>
      </c>
      <c r="I253">
        <v>8.6999999999999994E-2</v>
      </c>
      <c r="J253">
        <v>8.7999999999999995E-2</v>
      </c>
      <c r="K253">
        <v>0.65500000000000003</v>
      </c>
      <c r="L253">
        <v>0.65900000000000003</v>
      </c>
      <c r="M253">
        <v>0.214</v>
      </c>
      <c r="N253">
        <v>0.20300000000000001</v>
      </c>
      <c r="O253">
        <v>-0.41399999999999998</v>
      </c>
      <c r="P253">
        <v>6.0949999999999998</v>
      </c>
      <c r="Q253">
        <v>1</v>
      </c>
      <c r="S253">
        <v>2.2370000000000001</v>
      </c>
      <c r="T253">
        <v>3.7</v>
      </c>
      <c r="W253" t="s">
        <v>54</v>
      </c>
      <c r="X253" t="s">
        <v>55</v>
      </c>
      <c r="Y253" t="s">
        <v>59</v>
      </c>
      <c r="Z253">
        <v>0.41499999999999998</v>
      </c>
      <c r="AA253">
        <v>0.58599999999999997</v>
      </c>
      <c r="AB253">
        <v>160</v>
      </c>
      <c r="AC253">
        <v>10.72</v>
      </c>
      <c r="AE253">
        <v>-90.532799999999995</v>
      </c>
      <c r="AF253">
        <v>14.6248</v>
      </c>
      <c r="AG253" t="s">
        <v>57</v>
      </c>
      <c r="AH253" t="s">
        <v>58</v>
      </c>
      <c r="AI253">
        <v>4254.0349999999999</v>
      </c>
      <c r="AJ253">
        <v>3.866857</v>
      </c>
      <c r="AK253">
        <v>70600000000</v>
      </c>
      <c r="AL253">
        <v>34.14461</v>
      </c>
      <c r="AN253">
        <v>2.3646850000000001</v>
      </c>
      <c r="AO253">
        <v>63.3675</v>
      </c>
      <c r="AP253">
        <v>45.596519999999998</v>
      </c>
      <c r="AQ253">
        <v>1.5200709999999999</v>
      </c>
      <c r="AR253">
        <v>11.12055</v>
      </c>
      <c r="AS253">
        <v>0.54475859999999998</v>
      </c>
      <c r="AT253">
        <v>1.308333</v>
      </c>
      <c r="AU253">
        <v>0.17139599999999999</v>
      </c>
      <c r="AV253">
        <v>1.308333</v>
      </c>
      <c r="AW253">
        <v>24.980779999999999</v>
      </c>
      <c r="AX253">
        <v>0.05</v>
      </c>
      <c r="AY253">
        <v>2.2947435286644402</v>
      </c>
      <c r="AZ253" s="1" t="s">
        <v>101</v>
      </c>
      <c r="BA253" s="1" t="s">
        <v>101</v>
      </c>
      <c r="BB253" s="1" t="s">
        <v>101</v>
      </c>
      <c r="BC253" s="1" t="s">
        <v>101</v>
      </c>
      <c r="BD253" s="2">
        <v>45.517848010842997</v>
      </c>
      <c r="BE253" s="2">
        <f t="shared" si="6"/>
        <v>1.4938340576020011</v>
      </c>
      <c r="BF253" s="2">
        <f t="shared" si="7"/>
        <v>3.1775805329133004</v>
      </c>
      <c r="BG253">
        <v>254612</v>
      </c>
      <c r="BH253" s="3">
        <v>26454</v>
      </c>
      <c r="BI253">
        <v>11.594596726829653</v>
      </c>
      <c r="BJ253" s="3">
        <v>110144</v>
      </c>
      <c r="BK253">
        <v>12694</v>
      </c>
      <c r="BL253">
        <v>13.026167265264238</v>
      </c>
      <c r="BM253" s="3">
        <v>796.28710000000001</v>
      </c>
      <c r="BN253">
        <v>16.152799999999957</v>
      </c>
      <c r="BO253">
        <v>2.0705152946101659</v>
      </c>
      <c r="BP253">
        <v>10483579601.517099</v>
      </c>
      <c r="BQ253">
        <v>838120379.36785889</v>
      </c>
      <c r="BR253">
        <v>8.6892739896017677</v>
      </c>
      <c r="BS253">
        <v>3.8443600000000001E-2</v>
      </c>
      <c r="BT253">
        <v>1.145502</v>
      </c>
      <c r="BU253">
        <v>0.98266167990557596</v>
      </c>
    </row>
    <row r="254" spans="1:73" x14ac:dyDescent="0.2">
      <c r="B254" t="s">
        <v>81</v>
      </c>
      <c r="C254">
        <v>1992</v>
      </c>
      <c r="D254">
        <v>10</v>
      </c>
      <c r="E254">
        <v>0</v>
      </c>
      <c r="F254" t="s">
        <v>82</v>
      </c>
      <c r="AZ254" s="1">
        <v>0</v>
      </c>
      <c r="BA254" s="1">
        <v>7.2000004351139096E-2</v>
      </c>
      <c r="BB254" s="1">
        <v>7.2000004351139096E-2</v>
      </c>
      <c r="BC254" s="1">
        <v>2.0034239999999999</v>
      </c>
      <c r="BD254" s="2">
        <v>85.637323358916007</v>
      </c>
      <c r="BE254" s="2"/>
      <c r="BF254" s="2"/>
      <c r="BH254" s="3"/>
      <c r="BM254" s="3">
        <v>47.6</v>
      </c>
      <c r="BN254">
        <v>4.5</v>
      </c>
      <c r="BO254">
        <v>8.6372360844529741</v>
      </c>
      <c r="BP254">
        <v>1835081214.48351</v>
      </c>
      <c r="BQ254">
        <v>210322065.15740013</v>
      </c>
      <c r="BR254">
        <v>12.944814943472327</v>
      </c>
    </row>
    <row r="255" spans="1:73" x14ac:dyDescent="0.2">
      <c r="A255">
        <v>225</v>
      </c>
      <c r="B255" t="s">
        <v>81</v>
      </c>
      <c r="C255">
        <v>1993</v>
      </c>
      <c r="D255">
        <v>10</v>
      </c>
      <c r="E255">
        <v>0</v>
      </c>
      <c r="F255" t="s">
        <v>82</v>
      </c>
      <c r="G255">
        <v>0.36413000000000001</v>
      </c>
      <c r="H255">
        <v>0</v>
      </c>
      <c r="O255">
        <v>-2.5190000000000001</v>
      </c>
      <c r="Q255">
        <v>1</v>
      </c>
      <c r="R255">
        <v>3216.9</v>
      </c>
      <c r="S255">
        <v>3.54</v>
      </c>
      <c r="T255">
        <v>10.75</v>
      </c>
      <c r="V255">
        <v>53.5</v>
      </c>
      <c r="W255" t="s">
        <v>54</v>
      </c>
      <c r="X255" t="s">
        <v>55</v>
      </c>
      <c r="Y255" t="s">
        <v>56</v>
      </c>
      <c r="Z255">
        <v>0.27200000000000002</v>
      </c>
      <c r="AA255">
        <v>0.503</v>
      </c>
      <c r="AB255">
        <v>128</v>
      </c>
      <c r="AC255">
        <v>7.1</v>
      </c>
      <c r="AE255">
        <v>-87.466700000000003</v>
      </c>
      <c r="AF255">
        <v>15.1333</v>
      </c>
      <c r="AG255" t="s">
        <v>63</v>
      </c>
      <c r="AH255" t="s">
        <v>83</v>
      </c>
      <c r="AI255">
        <v>1744.2560000000001</v>
      </c>
      <c r="AJ255">
        <v>6.4957180000000001</v>
      </c>
      <c r="AK255">
        <v>9410000000</v>
      </c>
      <c r="AN255">
        <v>-6.2658209999999999</v>
      </c>
      <c r="AO255">
        <v>94.100300000000004</v>
      </c>
      <c r="AP255">
        <v>84.352490000000003</v>
      </c>
      <c r="AQ255">
        <v>0.54194169999999997</v>
      </c>
      <c r="AR255">
        <v>7.491498</v>
      </c>
      <c r="AT255">
        <v>2.3749060000000002</v>
      </c>
      <c r="AU255">
        <v>6.3453609999999996</v>
      </c>
      <c r="AV255">
        <v>2.3749060000000002</v>
      </c>
      <c r="AW255">
        <v>22.964960000000001</v>
      </c>
      <c r="AY255">
        <v>0.62331268858186395</v>
      </c>
      <c r="AZ255" s="1">
        <v>0</v>
      </c>
      <c r="BA255" s="1">
        <v>9.6000000834464999E-2</v>
      </c>
      <c r="BB255" s="1">
        <v>9.6000000834464999E-2</v>
      </c>
      <c r="BC255" s="1">
        <v>2.0302354999999999</v>
      </c>
      <c r="BD255" s="2">
        <v>97.851185942870998</v>
      </c>
      <c r="BE255" s="2">
        <f t="shared" si="6"/>
        <v>12.213862583954992</v>
      </c>
      <c r="BF255" s="2">
        <f t="shared" si="7"/>
        <v>14.262312394754879</v>
      </c>
      <c r="BH255" s="3"/>
      <c r="BM255" s="3">
        <v>52.1</v>
      </c>
      <c r="BN255">
        <v>4.5</v>
      </c>
      <c r="BO255">
        <v>9.4537815126050422</v>
      </c>
      <c r="BP255">
        <v>2377106795.7558799</v>
      </c>
      <c r="BQ255">
        <v>542025581.27236986</v>
      </c>
      <c r="BR255">
        <v>29.536871556113926</v>
      </c>
      <c r="BU255">
        <v>1.6831147851125401</v>
      </c>
    </row>
    <row r="256" spans="1:73" x14ac:dyDescent="0.2">
      <c r="A256">
        <v>226</v>
      </c>
      <c r="B256" t="s">
        <v>81</v>
      </c>
      <c r="C256">
        <v>1994</v>
      </c>
      <c r="D256">
        <v>10</v>
      </c>
      <c r="E256">
        <v>1</v>
      </c>
      <c r="F256" t="s">
        <v>82</v>
      </c>
      <c r="G256">
        <v>0.36413000000000001</v>
      </c>
      <c r="H256">
        <v>0</v>
      </c>
      <c r="I256">
        <v>0.21</v>
      </c>
      <c r="J256">
        <v>0.27400000000000002</v>
      </c>
      <c r="K256">
        <v>1.0189999999999999</v>
      </c>
      <c r="L256">
        <v>1.163</v>
      </c>
      <c r="M256">
        <v>0.44700000000000001</v>
      </c>
      <c r="N256">
        <v>0.48199999999999998</v>
      </c>
      <c r="O256">
        <v>-2.5190000000000001</v>
      </c>
      <c r="Q256">
        <v>0</v>
      </c>
      <c r="R256">
        <v>3106</v>
      </c>
      <c r="S256">
        <v>-2.5790000000000002</v>
      </c>
      <c r="T256">
        <v>21.73</v>
      </c>
      <c r="V256">
        <v>55</v>
      </c>
      <c r="W256" t="s">
        <v>54</v>
      </c>
      <c r="X256" t="s">
        <v>55</v>
      </c>
      <c r="Y256" t="s">
        <v>56</v>
      </c>
      <c r="Z256">
        <v>0.29199999999999998</v>
      </c>
      <c r="AA256">
        <v>0.53500000000000003</v>
      </c>
      <c r="AB256">
        <v>128</v>
      </c>
      <c r="AC256">
        <v>7.1</v>
      </c>
      <c r="AE256">
        <v>-87.466700000000003</v>
      </c>
      <c r="AF256">
        <v>15.1333</v>
      </c>
      <c r="AG256" t="s">
        <v>63</v>
      </c>
      <c r="AH256" t="s">
        <v>83</v>
      </c>
      <c r="AI256">
        <v>1699.268</v>
      </c>
      <c r="AJ256">
        <v>0.21190349999999999</v>
      </c>
      <c r="AK256">
        <v>9430000000</v>
      </c>
      <c r="AN256">
        <v>-7.3950719999999999</v>
      </c>
      <c r="AO256">
        <v>93.053340000000006</v>
      </c>
      <c r="AP256">
        <v>100.31780000000001</v>
      </c>
      <c r="AQ256">
        <v>0.74963150000000001</v>
      </c>
      <c r="AR256">
        <v>7.1216299999999997</v>
      </c>
      <c r="AS256">
        <v>6.2838139999999996</v>
      </c>
      <c r="AT256">
        <v>3.078694</v>
      </c>
      <c r="AU256">
        <v>6.3453609999999996</v>
      </c>
      <c r="AV256">
        <v>3.078694</v>
      </c>
      <c r="AW256">
        <v>22.967079999999999</v>
      </c>
      <c r="AX256">
        <v>10.98</v>
      </c>
      <c r="AY256">
        <v>0.62331268858186395</v>
      </c>
      <c r="AZ256" s="1">
        <v>0</v>
      </c>
      <c r="BA256" s="1">
        <v>9.6000000834464999E-2</v>
      </c>
      <c r="BB256" s="1">
        <v>9.6000000834464999E-2</v>
      </c>
      <c r="BC256" s="1">
        <v>2.0302354999999999</v>
      </c>
      <c r="BD256" s="2">
        <v>111.989221916603</v>
      </c>
      <c r="BE256" s="2">
        <f t="shared" si="6"/>
        <v>14.138035973732002</v>
      </c>
      <c r="BF256" s="2">
        <f t="shared" si="7"/>
        <v>14.448507534682607</v>
      </c>
      <c r="BH256" s="3"/>
      <c r="BM256" s="3">
        <v>41.5</v>
      </c>
      <c r="BN256">
        <v>10.600000000000001</v>
      </c>
      <c r="BO256">
        <v>20.345489443378124</v>
      </c>
      <c r="BP256">
        <v>2590378093.34201</v>
      </c>
      <c r="BQ256">
        <v>213271297.58613014</v>
      </c>
      <c r="BR256">
        <v>8.9718854014850216</v>
      </c>
      <c r="BS256">
        <v>0.36986829999999998</v>
      </c>
      <c r="BT256">
        <v>1.5251920000000001</v>
      </c>
      <c r="BU256">
        <v>0.157923158838955</v>
      </c>
    </row>
    <row r="257" spans="1:73" x14ac:dyDescent="0.2">
      <c r="A257">
        <v>227</v>
      </c>
      <c r="B257" t="s">
        <v>81</v>
      </c>
      <c r="C257">
        <v>1995</v>
      </c>
      <c r="D257">
        <v>10</v>
      </c>
      <c r="E257">
        <v>0</v>
      </c>
      <c r="F257" t="s">
        <v>82</v>
      </c>
      <c r="G257">
        <v>0.36413000000000001</v>
      </c>
      <c r="H257">
        <v>0</v>
      </c>
      <c r="I257">
        <v>0.21</v>
      </c>
      <c r="J257">
        <v>0.27400000000000002</v>
      </c>
      <c r="K257">
        <v>1.0189999999999999</v>
      </c>
      <c r="L257">
        <v>1.163</v>
      </c>
      <c r="M257">
        <v>0.44700000000000001</v>
      </c>
      <c r="N257">
        <v>0.48199999999999998</v>
      </c>
      <c r="O257">
        <v>-2.5190000000000001</v>
      </c>
      <c r="Q257">
        <v>0</v>
      </c>
      <c r="R257">
        <v>3163.8</v>
      </c>
      <c r="S257">
        <v>3.2120000000000002</v>
      </c>
      <c r="T257">
        <v>29.46</v>
      </c>
      <c r="U257">
        <v>3.24</v>
      </c>
      <c r="V257">
        <v>55.5</v>
      </c>
      <c r="W257" t="s">
        <v>54</v>
      </c>
      <c r="X257" t="s">
        <v>55</v>
      </c>
      <c r="Y257" t="s">
        <v>56</v>
      </c>
      <c r="Z257">
        <v>0.30599999999999999</v>
      </c>
      <c r="AA257">
        <v>0.55000000000000004</v>
      </c>
      <c r="AB257">
        <v>128</v>
      </c>
      <c r="AC257">
        <v>7.1</v>
      </c>
      <c r="AE257">
        <v>-87.466700000000003</v>
      </c>
      <c r="AF257">
        <v>15.1333</v>
      </c>
      <c r="AG257" t="s">
        <v>63</v>
      </c>
      <c r="AH257" t="s">
        <v>83</v>
      </c>
      <c r="AI257">
        <v>1753.856</v>
      </c>
      <c r="AJ257">
        <v>6.1893039999999999</v>
      </c>
      <c r="AK257">
        <v>10000000000</v>
      </c>
      <c r="AN257">
        <v>-3.7569340000000002</v>
      </c>
      <c r="AO257">
        <v>92.037059999999997</v>
      </c>
      <c r="AP257">
        <v>102.44889999999999</v>
      </c>
      <c r="AQ257">
        <v>0.93502600000000002</v>
      </c>
      <c r="AR257">
        <v>6.8152569999999999</v>
      </c>
      <c r="AS257">
        <v>5.9774010000000004</v>
      </c>
      <c r="AT257">
        <v>3.3830330000000002</v>
      </c>
      <c r="AU257">
        <v>6.3453609999999996</v>
      </c>
      <c r="AV257">
        <v>3.3830330000000002</v>
      </c>
      <c r="AW257">
        <v>23.02713</v>
      </c>
      <c r="AX257">
        <v>7.73</v>
      </c>
      <c r="AY257">
        <v>0.62331268858186395</v>
      </c>
      <c r="AZ257" s="1">
        <v>0</v>
      </c>
      <c r="BA257" s="1">
        <v>9.6000000834464999E-2</v>
      </c>
      <c r="BB257" s="1">
        <v>9.6000000834464999E-2</v>
      </c>
      <c r="BC257" s="1">
        <v>2.0302354999999999</v>
      </c>
      <c r="BD257" s="2">
        <v>114.88366682836801</v>
      </c>
      <c r="BE257" s="2">
        <f t="shared" si="6"/>
        <v>2.8944449117650066</v>
      </c>
      <c r="BF257" s="2">
        <f t="shared" si="7"/>
        <v>2.5845745351463054</v>
      </c>
      <c r="BH257" s="3"/>
      <c r="BM257" s="3">
        <v>69.400000000000006</v>
      </c>
      <c r="BN257">
        <v>27.900000000000006</v>
      </c>
      <c r="BO257">
        <v>67.228915662650607</v>
      </c>
      <c r="BP257">
        <v>2721422104.5444598</v>
      </c>
      <c r="BQ257">
        <v>131044011.2024498</v>
      </c>
      <c r="BR257">
        <v>5.0588758274040861</v>
      </c>
      <c r="BS257">
        <v>0.30637259999999999</v>
      </c>
      <c r="BT257">
        <v>3.0011410000000001</v>
      </c>
      <c r="BU257">
        <v>3.1590642660371802</v>
      </c>
    </row>
    <row r="258" spans="1:73" x14ac:dyDescent="0.2">
      <c r="A258">
        <v>228</v>
      </c>
      <c r="B258" t="s">
        <v>81</v>
      </c>
      <c r="C258">
        <v>1996</v>
      </c>
      <c r="D258">
        <v>10</v>
      </c>
      <c r="E258">
        <v>0</v>
      </c>
      <c r="F258" t="s">
        <v>82</v>
      </c>
      <c r="G258">
        <v>0.36413000000000001</v>
      </c>
      <c r="H258">
        <v>0</v>
      </c>
      <c r="I258">
        <v>0.21</v>
      </c>
      <c r="J258">
        <v>0.27400000000000002</v>
      </c>
      <c r="K258">
        <v>1.0189999999999999</v>
      </c>
      <c r="L258">
        <v>1.163</v>
      </c>
      <c r="M258">
        <v>0.44700000000000001</v>
      </c>
      <c r="N258">
        <v>0.48199999999999998</v>
      </c>
      <c r="O258">
        <v>-2.5190000000000001</v>
      </c>
      <c r="P258">
        <v>4.8120000000000003</v>
      </c>
      <c r="Q258">
        <v>0</v>
      </c>
      <c r="R258">
        <v>3210.3</v>
      </c>
      <c r="S258">
        <v>-1.004</v>
      </c>
      <c r="T258">
        <v>23.84</v>
      </c>
      <c r="U258">
        <v>4.37</v>
      </c>
      <c r="V258">
        <v>55.7</v>
      </c>
      <c r="W258" t="s">
        <v>54</v>
      </c>
      <c r="X258" t="s">
        <v>55</v>
      </c>
      <c r="Y258" t="s">
        <v>56</v>
      </c>
      <c r="Z258">
        <v>0.31</v>
      </c>
      <c r="AA258">
        <v>0.55900000000000005</v>
      </c>
      <c r="AB258">
        <v>128</v>
      </c>
      <c r="AC258">
        <v>7.1</v>
      </c>
      <c r="AE258">
        <v>-87.466700000000003</v>
      </c>
      <c r="AF258">
        <v>15.1333</v>
      </c>
      <c r="AG258" t="s">
        <v>63</v>
      </c>
      <c r="AH258" t="s">
        <v>83</v>
      </c>
      <c r="AI258">
        <v>1736.242</v>
      </c>
      <c r="AJ258">
        <v>1.870776</v>
      </c>
      <c r="AK258">
        <v>10200000000</v>
      </c>
      <c r="AN258">
        <v>-6.4314119999999999</v>
      </c>
      <c r="AO258">
        <v>91.044150000000002</v>
      </c>
      <c r="AP258">
        <v>115.4508</v>
      </c>
      <c r="AQ258">
        <v>1.743039</v>
      </c>
      <c r="AR258">
        <v>7.3786230000000002</v>
      </c>
      <c r="AS258">
        <v>4.3185279999999997</v>
      </c>
      <c r="AT258">
        <v>3.1713650000000002</v>
      </c>
      <c r="AU258">
        <v>6.3453609999999996</v>
      </c>
      <c r="AV258">
        <v>3.1713650000000002</v>
      </c>
      <c r="AW258">
        <v>23.045660000000002</v>
      </c>
      <c r="AX258">
        <v>5.619999</v>
      </c>
      <c r="AY258">
        <v>0.62331268858186395</v>
      </c>
      <c r="AZ258" s="1">
        <v>0</v>
      </c>
      <c r="BA258" s="1">
        <v>9.6000000834464999E-2</v>
      </c>
      <c r="BB258" s="1">
        <v>9.6000000834464999E-2</v>
      </c>
      <c r="BC258" s="1">
        <v>2.0302354999999999</v>
      </c>
      <c r="BD258" s="2">
        <v>123.677749886098</v>
      </c>
      <c r="BE258" s="2">
        <f t="shared" si="6"/>
        <v>8.794083057729992</v>
      </c>
      <c r="BF258" s="2">
        <f t="shared" si="7"/>
        <v>7.6547722583298379</v>
      </c>
      <c r="BH258" s="3"/>
      <c r="BM258" s="3">
        <v>90</v>
      </c>
      <c r="BN258">
        <v>20.599999999999994</v>
      </c>
      <c r="BO258">
        <v>29.682997118155612</v>
      </c>
      <c r="BP258">
        <v>2523487287.6915398</v>
      </c>
      <c r="BQ258">
        <v>197934816.85292006</v>
      </c>
      <c r="BR258">
        <v>7.2732126531342507</v>
      </c>
      <c r="BS258">
        <v>0.56336549999999996</v>
      </c>
      <c r="BT258">
        <v>10.990819999999999</v>
      </c>
      <c r="BU258">
        <v>-7.8317513721643897</v>
      </c>
    </row>
    <row r="259" spans="1:73" x14ac:dyDescent="0.2">
      <c r="A259">
        <v>229</v>
      </c>
      <c r="B259" t="s">
        <v>81</v>
      </c>
      <c r="C259">
        <v>1997</v>
      </c>
      <c r="D259">
        <v>10</v>
      </c>
      <c r="E259">
        <v>0</v>
      </c>
      <c r="F259" t="s">
        <v>82</v>
      </c>
      <c r="G259">
        <v>0.67100000000000004</v>
      </c>
      <c r="H259">
        <v>0</v>
      </c>
      <c r="I259">
        <v>0.21</v>
      </c>
      <c r="J259">
        <v>0.27400000000000002</v>
      </c>
      <c r="K259">
        <v>1.0189999999999999</v>
      </c>
      <c r="L259">
        <v>1.163</v>
      </c>
      <c r="M259">
        <v>0.44700000000000001</v>
      </c>
      <c r="N259">
        <v>0.48199999999999998</v>
      </c>
      <c r="O259">
        <v>-2.5190000000000001</v>
      </c>
      <c r="P259">
        <v>5.6180000000000003</v>
      </c>
      <c r="Q259">
        <v>1</v>
      </c>
      <c r="R259">
        <v>3303.3</v>
      </c>
      <c r="S259">
        <v>1.641</v>
      </c>
      <c r="T259">
        <v>20.2</v>
      </c>
      <c r="U259">
        <v>3.32</v>
      </c>
      <c r="V259">
        <v>52.7</v>
      </c>
      <c r="W259" t="s">
        <v>54</v>
      </c>
      <c r="X259" t="s">
        <v>55</v>
      </c>
      <c r="Y259" t="s">
        <v>56</v>
      </c>
      <c r="Z259">
        <v>0.312</v>
      </c>
      <c r="AA259">
        <v>0.55900000000000005</v>
      </c>
      <c r="AB259">
        <v>133</v>
      </c>
      <c r="AC259">
        <v>7.1</v>
      </c>
      <c r="AE259">
        <v>-87.466700000000003</v>
      </c>
      <c r="AF259">
        <v>15.1333</v>
      </c>
      <c r="AG259" t="s">
        <v>63</v>
      </c>
      <c r="AH259" t="s">
        <v>83</v>
      </c>
      <c r="AI259">
        <v>1764.742</v>
      </c>
      <c r="AJ259">
        <v>4.5980829999999999</v>
      </c>
      <c r="AK259">
        <v>10700000000</v>
      </c>
      <c r="AN259">
        <v>-4.7445579999999996</v>
      </c>
      <c r="AO259">
        <v>90.091970000000003</v>
      </c>
      <c r="AP259">
        <v>118.8484</v>
      </c>
      <c r="AQ259">
        <v>2.1177950000000001</v>
      </c>
      <c r="AR259">
        <v>7.186896</v>
      </c>
      <c r="AS259">
        <v>2.7273070000000001</v>
      </c>
      <c r="AT259">
        <v>3.0056829999999999</v>
      </c>
      <c r="AU259">
        <v>6.3453609999999996</v>
      </c>
      <c r="AV259">
        <v>3.0056829999999999</v>
      </c>
      <c r="AW259">
        <v>23.090620000000001</v>
      </c>
      <c r="AX259">
        <v>3.639999</v>
      </c>
      <c r="AY259">
        <v>0.62331268858186395</v>
      </c>
      <c r="AZ259" s="1">
        <v>1.0499999858439E-2</v>
      </c>
      <c r="BA259" s="1">
        <v>3.8000002503395101E-2</v>
      </c>
      <c r="BB259" s="1">
        <v>4.8500001430511502E-2</v>
      </c>
      <c r="BC259" s="1">
        <v>2.1764079999999999</v>
      </c>
      <c r="BD259" s="2">
        <v>122.62797181915001</v>
      </c>
      <c r="BE259" s="2">
        <f t="shared" si="6"/>
        <v>1.0497780669479937</v>
      </c>
      <c r="BF259" s="2">
        <f t="shared" si="7"/>
        <v>0.848801072072216</v>
      </c>
      <c r="BH259" s="3"/>
      <c r="BM259" s="3">
        <v>127.7</v>
      </c>
      <c r="BN259">
        <v>37.700000000000003</v>
      </c>
      <c r="BO259">
        <v>41.888888888888893</v>
      </c>
      <c r="BP259">
        <v>2712075251.91219</v>
      </c>
      <c r="BQ259">
        <v>188587964.2206502</v>
      </c>
      <c r="BR259">
        <v>7.473307479712668</v>
      </c>
      <c r="BS259">
        <v>0.19172620000000001</v>
      </c>
      <c r="BT259">
        <v>12.904199999999999</v>
      </c>
      <c r="BU259">
        <v>5.0724494368494</v>
      </c>
    </row>
    <row r="260" spans="1:73" x14ac:dyDescent="0.2">
      <c r="A260">
        <v>230</v>
      </c>
      <c r="B260" t="s">
        <v>81</v>
      </c>
      <c r="C260">
        <v>1998</v>
      </c>
      <c r="D260">
        <v>10</v>
      </c>
      <c r="E260">
        <v>1</v>
      </c>
      <c r="F260" t="s">
        <v>82</v>
      </c>
      <c r="G260">
        <v>0.67100000000000004</v>
      </c>
      <c r="H260">
        <v>0</v>
      </c>
      <c r="I260">
        <v>0.433</v>
      </c>
      <c r="J260">
        <v>0.45200000000000001</v>
      </c>
      <c r="K260">
        <v>1.4630000000000001</v>
      </c>
      <c r="L260">
        <v>1.4950000000000001</v>
      </c>
      <c r="M260">
        <v>0.626</v>
      </c>
      <c r="N260">
        <v>0.65300000000000002</v>
      </c>
      <c r="O260">
        <v>-2.5190000000000001</v>
      </c>
      <c r="P260">
        <v>6.0449999999999999</v>
      </c>
      <c r="Q260">
        <v>0</v>
      </c>
      <c r="R260">
        <v>3332.9</v>
      </c>
      <c r="S260">
        <v>0.68100000000000005</v>
      </c>
      <c r="T260">
        <v>13.67</v>
      </c>
      <c r="U260">
        <v>4.0199999999999996</v>
      </c>
      <c r="V260">
        <v>57.4</v>
      </c>
      <c r="W260" t="s">
        <v>54</v>
      </c>
      <c r="X260" t="s">
        <v>55</v>
      </c>
      <c r="Y260" t="s">
        <v>56</v>
      </c>
      <c r="Z260">
        <v>0.315</v>
      </c>
      <c r="AA260">
        <v>0.56100000000000005</v>
      </c>
      <c r="AB260">
        <v>133</v>
      </c>
      <c r="AC260">
        <v>4.4000000000000004</v>
      </c>
      <c r="AE260">
        <v>-87.466700000000003</v>
      </c>
      <c r="AF260">
        <v>15.1333</v>
      </c>
      <c r="AG260" t="s">
        <v>63</v>
      </c>
      <c r="AH260" t="s">
        <v>83</v>
      </c>
      <c r="AI260">
        <v>1776.758</v>
      </c>
      <c r="AJ260">
        <v>3.590233</v>
      </c>
      <c r="AK260">
        <v>11100000000</v>
      </c>
      <c r="AN260">
        <v>-2.320014</v>
      </c>
      <c r="AO260">
        <v>89.135829999999999</v>
      </c>
      <c r="AP260">
        <v>122.0505</v>
      </c>
      <c r="AQ260">
        <v>1.5550539999999999</v>
      </c>
      <c r="AR260">
        <v>8.2563569999999995</v>
      </c>
      <c r="AS260">
        <v>1.0078499999999999</v>
      </c>
      <c r="AT260">
        <v>2.6152039999999999</v>
      </c>
      <c r="AU260">
        <v>6.3453609999999996</v>
      </c>
      <c r="AV260">
        <v>2.6152039999999999</v>
      </c>
      <c r="AW260">
        <v>23.125889999999998</v>
      </c>
      <c r="AX260">
        <v>6.5300010000000004</v>
      </c>
      <c r="AY260">
        <v>0.62331268858186395</v>
      </c>
      <c r="AZ260" s="1">
        <v>1.0499999858439E-2</v>
      </c>
      <c r="BA260" s="1">
        <v>3.8000002503395101E-2</v>
      </c>
      <c r="BB260" s="1">
        <v>4.8500001430511502E-2</v>
      </c>
      <c r="BC260" s="1">
        <v>2.1764079999999999</v>
      </c>
      <c r="BD260" s="2">
        <v>125.659366927538</v>
      </c>
      <c r="BE260" s="2">
        <f t="shared" ref="BE260:BE323" si="8">ABS(BD260-BD259)</f>
        <v>3.0313951083879971</v>
      </c>
      <c r="BF260" s="2">
        <f t="shared" ref="BF260:BF323" si="9">100*ABS(BD260-BD259)/BD259</f>
        <v>2.4720258057098552</v>
      </c>
      <c r="BH260" s="3"/>
      <c r="BM260" s="3">
        <v>99</v>
      </c>
      <c r="BN260">
        <v>28.700000000000003</v>
      </c>
      <c r="BO260">
        <v>22.474549725920127</v>
      </c>
      <c r="BP260">
        <v>2783308987.6147099</v>
      </c>
      <c r="BQ260">
        <v>71233735.702519894</v>
      </c>
      <c r="BR260">
        <v>2.6265397928134724</v>
      </c>
      <c r="BS260">
        <v>1.069461</v>
      </c>
      <c r="BT260">
        <v>0.12110899999999999</v>
      </c>
      <c r="BU260">
        <v>5.1935579980858897</v>
      </c>
    </row>
    <row r="261" spans="1:73" x14ac:dyDescent="0.2">
      <c r="A261">
        <v>231</v>
      </c>
      <c r="B261" t="s">
        <v>81</v>
      </c>
      <c r="C261">
        <v>1999</v>
      </c>
      <c r="D261">
        <v>10</v>
      </c>
      <c r="E261">
        <v>0</v>
      </c>
      <c r="F261" t="s">
        <v>82</v>
      </c>
      <c r="G261">
        <v>0.67100000000000004</v>
      </c>
      <c r="H261">
        <v>0</v>
      </c>
      <c r="I261">
        <v>0.433</v>
      </c>
      <c r="J261">
        <v>0.45200000000000001</v>
      </c>
      <c r="K261">
        <v>1.4630000000000001</v>
      </c>
      <c r="L261">
        <v>1.4950000000000001</v>
      </c>
      <c r="M261">
        <v>0.626</v>
      </c>
      <c r="N261">
        <v>0.65300000000000002</v>
      </c>
      <c r="O261">
        <v>-2.5190000000000001</v>
      </c>
      <c r="P261">
        <v>6.0449999999999999</v>
      </c>
      <c r="Q261">
        <v>0</v>
      </c>
      <c r="R261">
        <v>3215.2</v>
      </c>
      <c r="S261">
        <v>-3.4780000000000002</v>
      </c>
      <c r="T261">
        <v>11.66</v>
      </c>
      <c r="U261">
        <v>3.85</v>
      </c>
      <c r="V261">
        <v>55.4</v>
      </c>
      <c r="W261" t="s">
        <v>54</v>
      </c>
      <c r="X261" t="s">
        <v>55</v>
      </c>
      <c r="Y261" t="s">
        <v>56</v>
      </c>
      <c r="Z261">
        <v>0.32200000000000001</v>
      </c>
      <c r="AA261">
        <v>0.56399999999999995</v>
      </c>
      <c r="AB261">
        <v>133</v>
      </c>
      <c r="AC261">
        <v>4.4000000000000004</v>
      </c>
      <c r="AE261">
        <v>-87.466700000000003</v>
      </c>
      <c r="AF261">
        <v>15.1333</v>
      </c>
      <c r="AG261" t="s">
        <v>63</v>
      </c>
      <c r="AH261" t="s">
        <v>83</v>
      </c>
      <c r="AI261">
        <v>1714.962</v>
      </c>
      <c r="AJ261">
        <v>-0.7356511</v>
      </c>
      <c r="AK261">
        <v>11000000000</v>
      </c>
      <c r="AN261">
        <v>-3.7555420000000002</v>
      </c>
      <c r="AO261">
        <v>88.095359999999999</v>
      </c>
      <c r="AP261">
        <v>120.12609999999999</v>
      </c>
      <c r="AQ261">
        <v>3.6994189999999998</v>
      </c>
      <c r="AR261">
        <v>9.4797980000000006</v>
      </c>
      <c r="AS261">
        <v>4.3258840000000003</v>
      </c>
      <c r="AT261">
        <v>2.4561639999999998</v>
      </c>
      <c r="AU261">
        <v>6.3453609999999996</v>
      </c>
      <c r="AV261">
        <v>2.4561639999999998</v>
      </c>
      <c r="AW261">
        <v>23.118510000000001</v>
      </c>
      <c r="AX261">
        <v>2.0099999999999998</v>
      </c>
      <c r="AY261">
        <v>0.62331268858186395</v>
      </c>
      <c r="AZ261" s="1">
        <v>1.0499999858439E-2</v>
      </c>
      <c r="BA261" s="1">
        <v>3.8000002503395101E-2</v>
      </c>
      <c r="BB261" s="1">
        <v>4.8500001430511502E-2</v>
      </c>
      <c r="BC261" s="1">
        <v>2.1764079999999999</v>
      </c>
      <c r="BD261" s="2">
        <v>120.893929607625</v>
      </c>
      <c r="BE261" s="2">
        <f t="shared" si="8"/>
        <v>4.7654373199130049</v>
      </c>
      <c r="BF261" s="2">
        <f t="shared" si="9"/>
        <v>3.7923454784401502</v>
      </c>
      <c r="BH261" s="3"/>
      <c r="BM261" s="3">
        <v>237.3</v>
      </c>
      <c r="BN261">
        <v>138.30000000000001</v>
      </c>
      <c r="BO261">
        <v>139.69696969696972</v>
      </c>
      <c r="BP261">
        <v>3043939991.4743299</v>
      </c>
      <c r="BQ261">
        <v>260631003.85962009</v>
      </c>
      <c r="BR261">
        <v>9.3640700698121311</v>
      </c>
      <c r="BS261">
        <v>1.223441</v>
      </c>
      <c r="BT261">
        <v>1.6119749999999999</v>
      </c>
      <c r="BU261">
        <v>3.5815830800881798</v>
      </c>
    </row>
    <row r="262" spans="1:73" x14ac:dyDescent="0.2">
      <c r="A262">
        <v>232</v>
      </c>
      <c r="B262" t="s">
        <v>81</v>
      </c>
      <c r="C262">
        <v>2000</v>
      </c>
      <c r="D262">
        <v>10</v>
      </c>
      <c r="E262">
        <v>0</v>
      </c>
      <c r="F262" t="s">
        <v>82</v>
      </c>
      <c r="G262">
        <v>0.67100000000000004</v>
      </c>
      <c r="H262">
        <v>0</v>
      </c>
      <c r="I262">
        <v>0.433</v>
      </c>
      <c r="J262">
        <v>0.45200000000000001</v>
      </c>
      <c r="K262">
        <v>1.4630000000000001</v>
      </c>
      <c r="L262">
        <v>1.4950000000000001</v>
      </c>
      <c r="M262">
        <v>0.626</v>
      </c>
      <c r="N262">
        <v>0.65300000000000002</v>
      </c>
      <c r="O262">
        <v>-2.5190000000000001</v>
      </c>
      <c r="P262">
        <v>4.9059999999999997</v>
      </c>
      <c r="Q262">
        <v>0</v>
      </c>
      <c r="R262">
        <v>3335.7</v>
      </c>
      <c r="S262">
        <v>4.3970000000000002</v>
      </c>
      <c r="T262">
        <v>11.05</v>
      </c>
      <c r="W262" t="s">
        <v>54</v>
      </c>
      <c r="X262" t="s">
        <v>55</v>
      </c>
      <c r="Y262" t="s">
        <v>56</v>
      </c>
      <c r="Z262">
        <v>0.33</v>
      </c>
      <c r="AA262">
        <v>0.56399999999999995</v>
      </c>
      <c r="AB262">
        <v>133</v>
      </c>
      <c r="AC262">
        <v>4.4000000000000004</v>
      </c>
      <c r="AE262">
        <v>-87.466700000000003</v>
      </c>
      <c r="AF262">
        <v>15.1333</v>
      </c>
      <c r="AG262" t="s">
        <v>63</v>
      </c>
      <c r="AH262" t="s">
        <v>83</v>
      </c>
      <c r="AI262">
        <v>1790.364</v>
      </c>
      <c r="AJ262">
        <v>7.2912879999999998</v>
      </c>
      <c r="AK262">
        <v>11800000000</v>
      </c>
      <c r="AN262">
        <v>-7.0723250000000002</v>
      </c>
      <c r="AO262">
        <v>86.925820000000002</v>
      </c>
      <c r="AP262">
        <v>120.3922</v>
      </c>
      <c r="AQ262">
        <v>4.8698350000000001</v>
      </c>
      <c r="AR262">
        <v>13.408469999999999</v>
      </c>
      <c r="AS262">
        <v>8.0269390000000005</v>
      </c>
      <c r="AT262">
        <v>2.402431</v>
      </c>
      <c r="AU262">
        <v>6.3453609999999996</v>
      </c>
      <c r="AV262">
        <v>2.402431</v>
      </c>
      <c r="AW262">
        <v>23.188880000000001</v>
      </c>
      <c r="AX262">
        <v>0.60999970000000003</v>
      </c>
      <c r="AY262">
        <v>0.62331268858186395</v>
      </c>
      <c r="AZ262" s="1">
        <v>1.0499999858439E-2</v>
      </c>
      <c r="BA262" s="1">
        <v>3.8000002503395101E-2</v>
      </c>
      <c r="BB262" s="1">
        <v>4.8500001430511502E-2</v>
      </c>
      <c r="BC262" s="1">
        <v>2.1764079999999999</v>
      </c>
      <c r="BD262" s="2">
        <v>120.392164584236</v>
      </c>
      <c r="BE262" s="2">
        <f t="shared" si="8"/>
        <v>0.50176502338899809</v>
      </c>
      <c r="BF262" s="2">
        <f t="shared" si="9"/>
        <v>0.41504567269633269</v>
      </c>
      <c r="BH262" s="3"/>
      <c r="BM262" s="3">
        <v>375.15910000000002</v>
      </c>
      <c r="BN262">
        <v>137.85910000000001</v>
      </c>
      <c r="BO262">
        <v>58.094858828487155</v>
      </c>
      <c r="BP262">
        <v>3244226487.1757302</v>
      </c>
      <c r="BQ262">
        <v>200286495.70140028</v>
      </c>
      <c r="BR262">
        <v>6.5798437637527698</v>
      </c>
      <c r="BS262">
        <v>3.9286750000000001</v>
      </c>
      <c r="BT262">
        <v>2.333745</v>
      </c>
      <c r="BU262">
        <v>1.2478380215004801</v>
      </c>
    </row>
    <row r="263" spans="1:73" x14ac:dyDescent="0.2">
      <c r="A263">
        <v>233</v>
      </c>
      <c r="B263" t="s">
        <v>81</v>
      </c>
      <c r="C263">
        <v>2001</v>
      </c>
      <c r="D263">
        <v>10</v>
      </c>
      <c r="E263">
        <v>0</v>
      </c>
      <c r="F263" t="s">
        <v>82</v>
      </c>
      <c r="G263">
        <v>0.67100000000000004</v>
      </c>
      <c r="H263">
        <v>0</v>
      </c>
      <c r="I263">
        <v>0.433</v>
      </c>
      <c r="J263">
        <v>0.45200000000000001</v>
      </c>
      <c r="K263">
        <v>1.4630000000000001</v>
      </c>
      <c r="L263">
        <v>1.4950000000000001</v>
      </c>
      <c r="M263">
        <v>0.626</v>
      </c>
      <c r="N263">
        <v>0.65300000000000002</v>
      </c>
      <c r="O263">
        <v>-2.5190000000000001</v>
      </c>
      <c r="P263">
        <v>4.8170000000000002</v>
      </c>
      <c r="Q263">
        <v>1</v>
      </c>
      <c r="R263">
        <v>3365.2</v>
      </c>
      <c r="S263">
        <v>2.4E-2</v>
      </c>
      <c r="T263">
        <v>9.67</v>
      </c>
      <c r="U263">
        <v>4</v>
      </c>
      <c r="V263">
        <v>55.4</v>
      </c>
      <c r="W263" t="s">
        <v>54</v>
      </c>
      <c r="X263" t="s">
        <v>55</v>
      </c>
      <c r="Y263" t="s">
        <v>56</v>
      </c>
      <c r="Z263">
        <v>0.33300000000000002</v>
      </c>
      <c r="AA263">
        <v>0.56399999999999995</v>
      </c>
      <c r="AB263">
        <v>128</v>
      </c>
      <c r="AC263">
        <v>4.4000000000000004</v>
      </c>
      <c r="AE263">
        <v>-87.466700000000003</v>
      </c>
      <c r="AF263">
        <v>15.1333</v>
      </c>
      <c r="AG263" t="s">
        <v>63</v>
      </c>
      <c r="AH263" t="s">
        <v>83</v>
      </c>
      <c r="AI263">
        <v>1790.797</v>
      </c>
      <c r="AJ263">
        <v>2.7231930000000002</v>
      </c>
      <c r="AK263">
        <v>12100000000</v>
      </c>
      <c r="AL263">
        <v>36.683570000000003</v>
      </c>
      <c r="AN263">
        <v>-6.2561229999999997</v>
      </c>
      <c r="AO263">
        <v>85.852410000000006</v>
      </c>
      <c r="AP263">
        <v>115.9431</v>
      </c>
      <c r="AQ263">
        <v>4.0494000000000003</v>
      </c>
      <c r="AR263">
        <v>14.68741</v>
      </c>
      <c r="AS263">
        <v>4.5680949999999996</v>
      </c>
      <c r="AT263">
        <v>2.269028</v>
      </c>
      <c r="AU263">
        <v>6.3453609999999996</v>
      </c>
      <c r="AV263">
        <v>2.269028</v>
      </c>
      <c r="AW263">
        <v>23.21575</v>
      </c>
      <c r="AX263">
        <v>1.38</v>
      </c>
      <c r="AY263">
        <v>0.62331268858186395</v>
      </c>
      <c r="AZ263" s="1">
        <v>0</v>
      </c>
      <c r="BA263" s="1">
        <v>8.79999995231628E-2</v>
      </c>
      <c r="BB263" s="1">
        <v>8.79999995231628E-2</v>
      </c>
      <c r="BC263" s="1">
        <v>2.4108298000000001</v>
      </c>
      <c r="BD263" s="2">
        <v>115.943071737954</v>
      </c>
      <c r="BE263" s="2">
        <f t="shared" si="8"/>
        <v>4.4490928462819994</v>
      </c>
      <c r="BF263" s="2">
        <f t="shared" si="9"/>
        <v>3.6955003356294487</v>
      </c>
      <c r="BH263" s="3"/>
      <c r="BJ263" s="3">
        <v>12060</v>
      </c>
      <c r="BM263" s="3">
        <v>301.44290000000001</v>
      </c>
      <c r="BN263">
        <v>73.716200000000015</v>
      </c>
      <c r="BO263">
        <v>19.649316783199453</v>
      </c>
      <c r="BP263">
        <v>3146583619.06741</v>
      </c>
      <c r="BQ263">
        <v>97642868.108320236</v>
      </c>
      <c r="BR263">
        <v>3.009742645721492</v>
      </c>
      <c r="BS263">
        <v>1.278937</v>
      </c>
      <c r="BT263">
        <v>2.1931379999999998</v>
      </c>
      <c r="BU263">
        <v>3.4409763287364998</v>
      </c>
    </row>
    <row r="264" spans="1:73" x14ac:dyDescent="0.2">
      <c r="A264">
        <v>234</v>
      </c>
      <c r="B264" t="s">
        <v>81</v>
      </c>
      <c r="C264">
        <v>2002</v>
      </c>
      <c r="D264">
        <v>10</v>
      </c>
      <c r="E264">
        <v>1</v>
      </c>
      <c r="F264" t="s">
        <v>82</v>
      </c>
      <c r="G264">
        <v>0.67100000000000004</v>
      </c>
      <c r="H264">
        <v>0</v>
      </c>
      <c r="I264">
        <v>1.214</v>
      </c>
      <c r="J264">
        <v>1.7030000000000001</v>
      </c>
      <c r="K264">
        <v>2.448</v>
      </c>
      <c r="L264">
        <v>2.9</v>
      </c>
      <c r="M264">
        <v>1.0269999999999999</v>
      </c>
      <c r="N264">
        <v>1.2030000000000001</v>
      </c>
      <c r="O264">
        <v>-2.5190000000000001</v>
      </c>
      <c r="P264">
        <v>6.032</v>
      </c>
      <c r="Q264">
        <v>0</v>
      </c>
      <c r="R264">
        <v>3431.3</v>
      </c>
      <c r="S264">
        <v>1.099</v>
      </c>
      <c r="T264">
        <v>7.69</v>
      </c>
      <c r="U264">
        <v>4.0199999999999996</v>
      </c>
      <c r="V264">
        <v>55.7</v>
      </c>
      <c r="W264" t="s">
        <v>54</v>
      </c>
      <c r="X264" t="s">
        <v>55</v>
      </c>
      <c r="Y264" t="s">
        <v>56</v>
      </c>
      <c r="Z264">
        <v>0.33400000000000002</v>
      </c>
      <c r="AA264">
        <v>0.56200000000000006</v>
      </c>
      <c r="AB264">
        <v>128</v>
      </c>
      <c r="AC264">
        <v>4.4000000000000004</v>
      </c>
      <c r="AE264">
        <v>-87.466700000000003</v>
      </c>
      <c r="AF264">
        <v>15.1333</v>
      </c>
      <c r="AG264" t="s">
        <v>63</v>
      </c>
      <c r="AH264" t="s">
        <v>83</v>
      </c>
      <c r="AI264">
        <v>1810.4739999999999</v>
      </c>
      <c r="AJ264">
        <v>3.7543380000000002</v>
      </c>
      <c r="AK264">
        <v>12600000000</v>
      </c>
      <c r="AL264">
        <v>36.032069999999997</v>
      </c>
      <c r="AN264">
        <v>-3.5831360000000001</v>
      </c>
      <c r="AO264">
        <v>84.504040000000003</v>
      </c>
      <c r="AP264">
        <v>117.9975</v>
      </c>
      <c r="AQ264">
        <v>3.6562269999999999</v>
      </c>
      <c r="AR264">
        <v>14.975540000000001</v>
      </c>
      <c r="AS264">
        <v>1.031145</v>
      </c>
      <c r="AT264">
        <v>2.0399210000000001</v>
      </c>
      <c r="AU264">
        <v>6.3453609999999996</v>
      </c>
      <c r="AV264">
        <v>2.0399210000000001</v>
      </c>
      <c r="AW264">
        <v>23.252610000000001</v>
      </c>
      <c r="AX264">
        <v>1.98</v>
      </c>
      <c r="AY264">
        <v>0.62331268858186395</v>
      </c>
      <c r="AZ264" s="1">
        <v>0</v>
      </c>
      <c r="BA264" s="1">
        <v>8.79999995231628E-2</v>
      </c>
      <c r="BB264" s="1">
        <v>8.79999995231628E-2</v>
      </c>
      <c r="BC264" s="1">
        <v>2.4108298000000001</v>
      </c>
      <c r="BD264" s="2">
        <v>117.997454450299</v>
      </c>
      <c r="BE264" s="2">
        <f t="shared" si="8"/>
        <v>2.0543827123450029</v>
      </c>
      <c r="BF264" s="2">
        <f t="shared" si="9"/>
        <v>1.7718891534874697</v>
      </c>
      <c r="BG264">
        <v>43986</v>
      </c>
      <c r="BH264" s="3">
        <v>4503</v>
      </c>
      <c r="BI264">
        <v>11.40490844160778</v>
      </c>
      <c r="BJ264" s="3">
        <v>14277</v>
      </c>
      <c r="BK264">
        <v>2217</v>
      </c>
      <c r="BL264">
        <v>18.383084577114428</v>
      </c>
      <c r="BM264" s="3">
        <v>268.6678</v>
      </c>
      <c r="BN264">
        <v>32.775100000000009</v>
      </c>
      <c r="BO264">
        <v>10.872739082592428</v>
      </c>
      <c r="BP264">
        <v>2917400830.1241899</v>
      </c>
      <c r="BQ264">
        <v>229182788.94322014</v>
      </c>
      <c r="BR264">
        <v>7.2835435726048097</v>
      </c>
      <c r="BS264">
        <v>0.28813270000000002</v>
      </c>
      <c r="BT264">
        <v>5.2338789999999999</v>
      </c>
      <c r="BU264">
        <v>-1.7929026334349101</v>
      </c>
    </row>
    <row r="265" spans="1:73" x14ac:dyDescent="0.2">
      <c r="A265">
        <v>235</v>
      </c>
      <c r="B265" t="s">
        <v>81</v>
      </c>
      <c r="C265">
        <v>2003</v>
      </c>
      <c r="D265">
        <v>10</v>
      </c>
      <c r="E265">
        <v>0</v>
      </c>
      <c r="F265" t="s">
        <v>82</v>
      </c>
      <c r="G265">
        <v>0.67100000000000004</v>
      </c>
      <c r="H265">
        <v>0</v>
      </c>
      <c r="I265">
        <v>1.214</v>
      </c>
      <c r="J265">
        <v>1.7030000000000001</v>
      </c>
      <c r="K265">
        <v>2.448</v>
      </c>
      <c r="L265">
        <v>2.9</v>
      </c>
      <c r="M265">
        <v>1.0269999999999999</v>
      </c>
      <c r="N265">
        <v>1.2030000000000001</v>
      </c>
      <c r="O265">
        <v>-2.5190000000000001</v>
      </c>
      <c r="P265">
        <v>5.2359999999999998</v>
      </c>
      <c r="Q265">
        <v>0</v>
      </c>
      <c r="R265">
        <v>3527.1</v>
      </c>
      <c r="S265">
        <v>1.9419999999999999</v>
      </c>
      <c r="T265">
        <v>7.67</v>
      </c>
      <c r="U265">
        <v>5.3</v>
      </c>
      <c r="V265">
        <v>58.1</v>
      </c>
      <c r="W265" t="s">
        <v>54</v>
      </c>
      <c r="X265" t="s">
        <v>55</v>
      </c>
      <c r="Y265" t="s">
        <v>56</v>
      </c>
      <c r="Z265">
        <v>0.33800000000000002</v>
      </c>
      <c r="AA265">
        <v>0.57099999999999995</v>
      </c>
      <c r="AB265">
        <v>128</v>
      </c>
      <c r="AC265">
        <v>4.4000000000000004</v>
      </c>
      <c r="AE265">
        <v>-87.466700000000003</v>
      </c>
      <c r="AF265">
        <v>15.1333</v>
      </c>
      <c r="AG265" t="s">
        <v>63</v>
      </c>
      <c r="AH265" t="s">
        <v>83</v>
      </c>
      <c r="AI265">
        <v>1845.6369999999999</v>
      </c>
      <c r="AJ265">
        <v>4.5470379999999997</v>
      </c>
      <c r="AK265">
        <v>13100000000</v>
      </c>
      <c r="AL265">
        <v>37.191049999999997</v>
      </c>
      <c r="AN265">
        <v>-6.7168219999999996</v>
      </c>
      <c r="AO265">
        <v>82.991069999999993</v>
      </c>
      <c r="AP265">
        <v>122.2483</v>
      </c>
      <c r="AQ265">
        <v>4.740558</v>
      </c>
      <c r="AR265">
        <v>14.92083</v>
      </c>
      <c r="AS265">
        <v>0.79270030000000002</v>
      </c>
      <c r="AT265">
        <v>2.0373169999999998</v>
      </c>
      <c r="AU265">
        <v>6.3453609999999996</v>
      </c>
      <c r="AV265">
        <v>2.0373169999999998</v>
      </c>
      <c r="AW265">
        <v>23.297080000000001</v>
      </c>
      <c r="AX265">
        <v>0.02</v>
      </c>
      <c r="AY265">
        <v>0.62331268858186395</v>
      </c>
      <c r="AZ265" s="1">
        <v>0</v>
      </c>
      <c r="BA265" s="1">
        <v>8.79999995231628E-2</v>
      </c>
      <c r="BB265" s="1">
        <v>8.79999995231628E-2</v>
      </c>
      <c r="BC265" s="1">
        <v>2.4108298000000001</v>
      </c>
      <c r="BD265" s="2">
        <v>122.248277175534</v>
      </c>
      <c r="BE265" s="2">
        <f t="shared" si="8"/>
        <v>4.2508227252349968</v>
      </c>
      <c r="BF265" s="2">
        <f t="shared" si="9"/>
        <v>3.6024698541488114</v>
      </c>
      <c r="BG265">
        <v>49345</v>
      </c>
      <c r="BH265" s="3">
        <v>5359</v>
      </c>
      <c r="BI265">
        <v>12.183421997908425</v>
      </c>
      <c r="BJ265" s="3">
        <v>17072</v>
      </c>
      <c r="BK265">
        <v>2795</v>
      </c>
      <c r="BL265">
        <v>19.576941934580095</v>
      </c>
      <c r="BM265" s="3">
        <v>390.5797</v>
      </c>
      <c r="BN265">
        <v>121.9119</v>
      </c>
      <c r="BO265">
        <v>45.376446302831972</v>
      </c>
      <c r="BP265">
        <v>3097921520.0452199</v>
      </c>
      <c r="BQ265">
        <v>180520689.92103004</v>
      </c>
      <c r="BR265">
        <v>6.1877232657586347</v>
      </c>
      <c r="BS265">
        <v>5.4714199999999998E-2</v>
      </c>
      <c r="BT265">
        <v>0.38996350000000002</v>
      </c>
      <c r="BU265">
        <v>-1.4029390662566801</v>
      </c>
    </row>
    <row r="266" spans="1:73" x14ac:dyDescent="0.2">
      <c r="A266">
        <v>236</v>
      </c>
      <c r="B266" t="s">
        <v>81</v>
      </c>
      <c r="C266">
        <v>2004</v>
      </c>
      <c r="D266">
        <v>10</v>
      </c>
      <c r="E266">
        <v>0</v>
      </c>
      <c r="F266" t="s">
        <v>82</v>
      </c>
      <c r="G266">
        <v>0.67100000000000004</v>
      </c>
      <c r="H266">
        <v>0</v>
      </c>
      <c r="I266">
        <v>1.214</v>
      </c>
      <c r="J266">
        <v>1.7030000000000001</v>
      </c>
      <c r="K266">
        <v>2.448</v>
      </c>
      <c r="L266">
        <v>2.9</v>
      </c>
      <c r="M266">
        <v>1.0269999999999999</v>
      </c>
      <c r="N266">
        <v>1.2030000000000001</v>
      </c>
      <c r="O266">
        <v>-2.5190000000000001</v>
      </c>
      <c r="P266">
        <v>6.2160000000000002</v>
      </c>
      <c r="Q266">
        <v>0</v>
      </c>
      <c r="R266">
        <v>3686.7</v>
      </c>
      <c r="S266">
        <v>3.6560000000000001</v>
      </c>
      <c r="T266">
        <v>8.11</v>
      </c>
      <c r="U266">
        <v>5.99</v>
      </c>
      <c r="V266">
        <v>58.1</v>
      </c>
      <c r="W266" t="s">
        <v>54</v>
      </c>
      <c r="X266" t="s">
        <v>55</v>
      </c>
      <c r="Y266" t="s">
        <v>56</v>
      </c>
      <c r="Z266">
        <v>0.33800000000000002</v>
      </c>
      <c r="AA266">
        <v>0.57099999999999995</v>
      </c>
      <c r="AB266">
        <v>128</v>
      </c>
      <c r="AC266">
        <v>4.4000000000000004</v>
      </c>
      <c r="AE266">
        <v>-87.466700000000003</v>
      </c>
      <c r="AF266">
        <v>15.1333</v>
      </c>
      <c r="AG266" t="s">
        <v>63</v>
      </c>
      <c r="AH266" t="s">
        <v>83</v>
      </c>
      <c r="AI266">
        <v>1913.1120000000001</v>
      </c>
      <c r="AJ266">
        <v>6.2323029999999999</v>
      </c>
      <c r="AK266">
        <v>13900000000</v>
      </c>
      <c r="AL266">
        <v>37.814369999999997</v>
      </c>
      <c r="AN266">
        <v>-7.7051189999999998</v>
      </c>
      <c r="AO266">
        <v>81.439059999999998</v>
      </c>
      <c r="AP266">
        <v>135.46180000000001</v>
      </c>
      <c r="AQ266">
        <v>6.6760549999999999</v>
      </c>
      <c r="AR266">
        <v>15.010759999999999</v>
      </c>
      <c r="AS266">
        <v>1.685265</v>
      </c>
      <c r="AT266">
        <v>2.0930979999999999</v>
      </c>
      <c r="AU266">
        <v>6.3453609999999996</v>
      </c>
      <c r="AV266">
        <v>2.0930979999999999</v>
      </c>
      <c r="AW266">
        <v>23.357530000000001</v>
      </c>
      <c r="AX266">
        <v>0.43999959999999999</v>
      </c>
      <c r="AY266">
        <v>0.62331268858186395</v>
      </c>
      <c r="AZ266" s="1">
        <v>0</v>
      </c>
      <c r="BA266" s="1">
        <v>8.79999995231628E-2</v>
      </c>
      <c r="BB266" s="1">
        <v>8.79999995231628E-2</v>
      </c>
      <c r="BC266" s="1">
        <v>2.4108298000000001</v>
      </c>
      <c r="BD266" s="2">
        <v>135.461758741854</v>
      </c>
      <c r="BE266" s="2">
        <f t="shared" si="8"/>
        <v>13.213481566319999</v>
      </c>
      <c r="BF266" s="2">
        <f t="shared" si="9"/>
        <v>10.808726201799155</v>
      </c>
      <c r="BG266">
        <v>57399</v>
      </c>
      <c r="BH266" s="3">
        <v>8054</v>
      </c>
      <c r="BI266">
        <v>16.321815786807175</v>
      </c>
      <c r="BJ266" s="3">
        <v>18555</v>
      </c>
      <c r="BK266">
        <v>1483</v>
      </c>
      <c r="BL266">
        <v>8.6867385192127458</v>
      </c>
      <c r="BM266" s="3">
        <v>552.9</v>
      </c>
      <c r="BN266">
        <v>162.32029999999997</v>
      </c>
      <c r="BO266">
        <v>41.558816292807833</v>
      </c>
      <c r="BP266">
        <v>3821987115.6827002</v>
      </c>
      <c r="BQ266">
        <v>724065595.63748026</v>
      </c>
      <c r="BR266">
        <v>23.372625515281332</v>
      </c>
      <c r="BS266">
        <v>8.9929599999999998E-2</v>
      </c>
      <c r="BT266">
        <v>1.4752069999999999</v>
      </c>
      <c r="BU266">
        <v>7.2268220144593401E-2</v>
      </c>
    </row>
    <row r="267" spans="1:73" x14ac:dyDescent="0.2">
      <c r="A267">
        <v>237</v>
      </c>
      <c r="B267" t="s">
        <v>81</v>
      </c>
      <c r="C267">
        <v>2005</v>
      </c>
      <c r="D267">
        <v>10</v>
      </c>
      <c r="E267">
        <v>0</v>
      </c>
      <c r="F267" t="s">
        <v>82</v>
      </c>
      <c r="G267">
        <v>0.67100000000000004</v>
      </c>
      <c r="H267">
        <v>0</v>
      </c>
      <c r="I267">
        <v>1.214</v>
      </c>
      <c r="J267">
        <v>1.7030000000000001</v>
      </c>
      <c r="K267">
        <v>2.448</v>
      </c>
      <c r="L267">
        <v>2.9</v>
      </c>
      <c r="M267">
        <v>1.0269999999999999</v>
      </c>
      <c r="N267">
        <v>1.2030000000000001</v>
      </c>
      <c r="O267">
        <v>-2.5190000000000001</v>
      </c>
      <c r="P267">
        <v>5.8170000000000002</v>
      </c>
      <c r="Q267">
        <v>1</v>
      </c>
      <c r="R267">
        <v>3851.1</v>
      </c>
      <c r="S267">
        <v>3.548</v>
      </c>
      <c r="T267">
        <v>8.81</v>
      </c>
      <c r="U267">
        <v>4.91</v>
      </c>
      <c r="V267">
        <v>59.5</v>
      </c>
      <c r="W267" t="s">
        <v>54</v>
      </c>
      <c r="X267" t="s">
        <v>55</v>
      </c>
      <c r="Y267" t="s">
        <v>56</v>
      </c>
      <c r="Z267">
        <v>0.33700000000000002</v>
      </c>
      <c r="AA267">
        <v>0.56599999999999995</v>
      </c>
      <c r="AB267">
        <v>128</v>
      </c>
      <c r="AC267">
        <v>4.4000000000000004</v>
      </c>
      <c r="AE267">
        <v>-87.466700000000003</v>
      </c>
      <c r="AF267">
        <v>15.1333</v>
      </c>
      <c r="AG267" t="s">
        <v>63</v>
      </c>
      <c r="AH267" t="s">
        <v>83</v>
      </c>
      <c r="AI267">
        <v>1980.9860000000001</v>
      </c>
      <c r="AJ267">
        <v>6.0505990000000001</v>
      </c>
      <c r="AK267">
        <v>14800000000</v>
      </c>
      <c r="AL267">
        <v>38.841760000000001</v>
      </c>
      <c r="AN267">
        <v>-3.1191339999999999</v>
      </c>
      <c r="AO267">
        <v>79.892200000000003</v>
      </c>
      <c r="AP267">
        <v>136.4898</v>
      </c>
      <c r="AQ267">
        <v>6.1602690000000004</v>
      </c>
      <c r="AR267">
        <v>15.52261</v>
      </c>
      <c r="AS267">
        <v>0.181704</v>
      </c>
      <c r="AT267">
        <v>2.175888</v>
      </c>
      <c r="AU267">
        <v>6.3453609999999996</v>
      </c>
      <c r="AV267">
        <v>2.175888</v>
      </c>
      <c r="AW267">
        <v>23.41628</v>
      </c>
      <c r="AX267">
        <v>0.70000079999999998</v>
      </c>
      <c r="AY267">
        <v>0.62331268858186395</v>
      </c>
      <c r="AZ267" s="1">
        <v>0</v>
      </c>
      <c r="BA267" s="1">
        <v>9.1499999165535001E-2</v>
      </c>
      <c r="BB267" s="1">
        <v>9.1499999165535001E-2</v>
      </c>
      <c r="BC267" s="1">
        <v>2.4108298000000001</v>
      </c>
      <c r="BD267" s="2">
        <v>136.48976801848599</v>
      </c>
      <c r="BE267" s="2">
        <f t="shared" si="8"/>
        <v>1.028009276631991</v>
      </c>
      <c r="BF267" s="2">
        <f t="shared" si="9"/>
        <v>0.7588926101210911</v>
      </c>
      <c r="BG267">
        <v>68782</v>
      </c>
      <c r="BH267" s="3">
        <v>11383</v>
      </c>
      <c r="BI267">
        <v>19.831355946967719</v>
      </c>
      <c r="BJ267" s="3">
        <v>21238</v>
      </c>
      <c r="BK267">
        <v>2683</v>
      </c>
      <c r="BL267">
        <v>14.459714362705471</v>
      </c>
      <c r="BM267" s="3">
        <v>598.70000000000005</v>
      </c>
      <c r="BN267">
        <v>45.800000000000068</v>
      </c>
      <c r="BO267">
        <v>8.2835955869054221</v>
      </c>
      <c r="BP267">
        <v>3767187667.2810402</v>
      </c>
      <c r="BQ267">
        <v>54799448.401659966</v>
      </c>
      <c r="BR267">
        <v>1.4337946922113431</v>
      </c>
      <c r="BS267">
        <v>0.51185610000000004</v>
      </c>
      <c r="BT267">
        <v>2.4225629999999998</v>
      </c>
      <c r="BU267">
        <v>2.4948310231636799</v>
      </c>
    </row>
    <row r="268" spans="1:73" x14ac:dyDescent="0.2">
      <c r="A268">
        <v>238</v>
      </c>
      <c r="B268" t="s">
        <v>81</v>
      </c>
      <c r="C268">
        <v>2006</v>
      </c>
      <c r="D268">
        <v>10</v>
      </c>
      <c r="E268">
        <v>1</v>
      </c>
      <c r="F268" t="s">
        <v>82</v>
      </c>
      <c r="G268">
        <v>0.67100000000000004</v>
      </c>
      <c r="H268">
        <v>0</v>
      </c>
      <c r="I268">
        <v>0.502</v>
      </c>
      <c r="J268">
        <v>1.4239999999999999</v>
      </c>
      <c r="K268">
        <v>1.5740000000000001</v>
      </c>
      <c r="L268">
        <v>2.6520000000000001</v>
      </c>
      <c r="M268">
        <v>0.69399999999999995</v>
      </c>
      <c r="N268">
        <v>0.83599999999999997</v>
      </c>
      <c r="O268">
        <v>-1.6919999999999999</v>
      </c>
      <c r="P268">
        <v>5.0659999999999998</v>
      </c>
      <c r="Q268">
        <v>0</v>
      </c>
      <c r="R268">
        <v>4045.3</v>
      </c>
      <c r="S268">
        <v>4.12</v>
      </c>
      <c r="T268">
        <v>5.58</v>
      </c>
      <c r="U268">
        <v>3.57</v>
      </c>
      <c r="V268">
        <v>57.5</v>
      </c>
      <c r="W268" t="s">
        <v>54</v>
      </c>
      <c r="X268" t="s">
        <v>55</v>
      </c>
      <c r="Y268" t="s">
        <v>56</v>
      </c>
      <c r="Z268">
        <v>0.317</v>
      </c>
      <c r="AA268">
        <v>0.52400000000000002</v>
      </c>
      <c r="AB268">
        <v>128</v>
      </c>
      <c r="AC268">
        <v>4.4000000000000004</v>
      </c>
      <c r="AE268">
        <v>-87.466700000000003</v>
      </c>
      <c r="AF268">
        <v>15.1333</v>
      </c>
      <c r="AG268" t="s">
        <v>63</v>
      </c>
      <c r="AH268" t="s">
        <v>83</v>
      </c>
      <c r="AI268">
        <v>2062.6039999999998</v>
      </c>
      <c r="AJ268">
        <v>6.5672439999999996</v>
      </c>
      <c r="AK268">
        <v>15800000000</v>
      </c>
      <c r="AL268">
        <v>44.729349999999997</v>
      </c>
      <c r="AN268">
        <v>-3.5049610000000002</v>
      </c>
      <c r="AO268">
        <v>78.153850000000006</v>
      </c>
      <c r="AP268">
        <v>133.1318</v>
      </c>
      <c r="AQ268">
        <v>6.57287</v>
      </c>
      <c r="AR268">
        <v>15.003780000000001</v>
      </c>
      <c r="AS268">
        <v>0.51664449999999995</v>
      </c>
      <c r="AT268">
        <v>1.7191890000000001</v>
      </c>
      <c r="AU268">
        <v>2.8628640000000001</v>
      </c>
      <c r="AV268">
        <v>1.7191890000000001</v>
      </c>
      <c r="AW268">
        <v>23.479890000000001</v>
      </c>
      <c r="AX268">
        <v>3.23</v>
      </c>
      <c r="AY268">
        <v>1.2799745910751199</v>
      </c>
      <c r="AZ268" s="1">
        <v>0</v>
      </c>
      <c r="BA268" s="1">
        <v>9.1499999165535001E-2</v>
      </c>
      <c r="BB268" s="1">
        <v>9.1499999165535001E-2</v>
      </c>
      <c r="BC268" s="1">
        <v>2.3696847000000001</v>
      </c>
      <c r="BD268" s="2">
        <v>133.13183510432</v>
      </c>
      <c r="BE268" s="2">
        <f t="shared" si="8"/>
        <v>3.3579329141659855</v>
      </c>
      <c r="BF268" s="2">
        <f t="shared" si="9"/>
        <v>2.4602085291193343</v>
      </c>
      <c r="BG268">
        <v>85271</v>
      </c>
      <c r="BH268" s="3">
        <v>16489</v>
      </c>
      <c r="BI268">
        <v>23.972841731848447</v>
      </c>
      <c r="BJ268" s="3">
        <v>26236</v>
      </c>
      <c r="BK268">
        <v>4998</v>
      </c>
      <c r="BL268">
        <v>23.533289386947924</v>
      </c>
      <c r="BM268" s="3">
        <v>668.3</v>
      </c>
      <c r="BN268">
        <v>69.599999999999909</v>
      </c>
      <c r="BO268">
        <v>11.625187907132103</v>
      </c>
      <c r="BP268">
        <v>4270273277.4728599</v>
      </c>
      <c r="BQ268">
        <v>503085610.19181967</v>
      </c>
      <c r="BR268">
        <v>13.354407972855801</v>
      </c>
      <c r="BS268">
        <v>0.51883319999999999</v>
      </c>
      <c r="BT268">
        <v>1.6253089999999999</v>
      </c>
      <c r="BU268">
        <v>0.86952153336446303</v>
      </c>
    </row>
    <row r="269" spans="1:73" x14ac:dyDescent="0.2">
      <c r="A269">
        <v>239</v>
      </c>
      <c r="B269" t="s">
        <v>81</v>
      </c>
      <c r="C269">
        <v>2007</v>
      </c>
      <c r="D269">
        <v>10</v>
      </c>
      <c r="E269">
        <v>0</v>
      </c>
      <c r="F269" t="s">
        <v>82</v>
      </c>
      <c r="G269">
        <v>0.67100000000000004</v>
      </c>
      <c r="H269">
        <v>0</v>
      </c>
      <c r="I269">
        <v>0.502</v>
      </c>
      <c r="J269">
        <v>1.4239999999999999</v>
      </c>
      <c r="K269">
        <v>1.5740000000000001</v>
      </c>
      <c r="L269">
        <v>2.6520000000000001</v>
      </c>
      <c r="M269">
        <v>0.69399999999999995</v>
      </c>
      <c r="N269">
        <v>0.83599999999999997</v>
      </c>
      <c r="O269">
        <v>-1.6919999999999999</v>
      </c>
      <c r="P269">
        <v>4.4740000000000002</v>
      </c>
      <c r="Q269">
        <v>0</v>
      </c>
      <c r="R269">
        <v>4237.3</v>
      </c>
      <c r="S269">
        <v>3.819</v>
      </c>
      <c r="T269">
        <v>6.94</v>
      </c>
      <c r="U269">
        <v>3.21</v>
      </c>
      <c r="V269">
        <v>55.8</v>
      </c>
      <c r="W269" t="s">
        <v>54</v>
      </c>
      <c r="X269" t="s">
        <v>55</v>
      </c>
      <c r="Y269" t="s">
        <v>56</v>
      </c>
      <c r="Z269">
        <v>0.318</v>
      </c>
      <c r="AA269">
        <v>0.52800000000000002</v>
      </c>
      <c r="AB269">
        <v>128</v>
      </c>
      <c r="AC269">
        <v>7.1</v>
      </c>
      <c r="AE269">
        <v>-87.466700000000003</v>
      </c>
      <c r="AF269">
        <v>15.1333</v>
      </c>
      <c r="AG269" t="s">
        <v>63</v>
      </c>
      <c r="AH269" t="s">
        <v>83</v>
      </c>
      <c r="AI269">
        <v>2141.375</v>
      </c>
      <c r="AJ269">
        <v>6.1883270000000001</v>
      </c>
      <c r="AK269">
        <v>16700000000</v>
      </c>
      <c r="AL269">
        <v>52.270420000000001</v>
      </c>
      <c r="AN269">
        <v>-9.0294729999999994</v>
      </c>
      <c r="AO269">
        <v>76.501499999999993</v>
      </c>
      <c r="AP269">
        <v>135.07060000000001</v>
      </c>
      <c r="AQ269">
        <v>7.8222329999999998</v>
      </c>
      <c r="AR269">
        <v>16.602370000000001</v>
      </c>
      <c r="AS269">
        <v>0.37891629999999998</v>
      </c>
      <c r="AT269">
        <v>1.9373020000000001</v>
      </c>
      <c r="AU269">
        <v>2.8628640000000001</v>
      </c>
      <c r="AV269">
        <v>1.9373020000000001</v>
      </c>
      <c r="AW269">
        <v>23.539929999999998</v>
      </c>
      <c r="AX269">
        <v>1.36</v>
      </c>
      <c r="AY269">
        <v>1.2799745910751199</v>
      </c>
      <c r="AZ269" s="1">
        <v>0</v>
      </c>
      <c r="BA269" s="1">
        <v>9.1499999165535001E-2</v>
      </c>
      <c r="BB269" s="1">
        <v>9.1499999165535001E-2</v>
      </c>
      <c r="BC269" s="1">
        <v>2.3696847000000001</v>
      </c>
      <c r="BD269" s="2">
        <v>135.070634917917</v>
      </c>
      <c r="BE269" s="2">
        <f t="shared" si="8"/>
        <v>1.9387998135970008</v>
      </c>
      <c r="BF269" s="2">
        <f t="shared" si="9"/>
        <v>1.456300675250054</v>
      </c>
      <c r="BG269">
        <v>99891</v>
      </c>
      <c r="BH269" s="3">
        <v>14620</v>
      </c>
      <c r="BI269">
        <v>17.145336632618356</v>
      </c>
      <c r="BJ269" s="3">
        <v>30248</v>
      </c>
      <c r="BK269">
        <v>4012</v>
      </c>
      <c r="BL269">
        <v>15.291965238603446</v>
      </c>
      <c r="BM269" s="3">
        <v>926.1</v>
      </c>
      <c r="BN269">
        <v>257.80000000000007</v>
      </c>
      <c r="BO269">
        <v>38.575490049379034</v>
      </c>
      <c r="BP269">
        <v>5310919877.7361498</v>
      </c>
      <c r="BQ269">
        <v>1040646600.2632899</v>
      </c>
      <c r="BR269">
        <v>24.369555123159302</v>
      </c>
      <c r="BS269">
        <v>1.598592</v>
      </c>
      <c r="BT269">
        <v>2.1149110000000002</v>
      </c>
      <c r="BU269">
        <v>2.98443254099685</v>
      </c>
    </row>
    <row r="270" spans="1:73" x14ac:dyDescent="0.2">
      <c r="A270">
        <v>240</v>
      </c>
      <c r="B270" t="s">
        <v>81</v>
      </c>
      <c r="C270">
        <v>2008</v>
      </c>
      <c r="D270">
        <v>10</v>
      </c>
      <c r="E270">
        <v>0</v>
      </c>
      <c r="F270" t="s">
        <v>82</v>
      </c>
      <c r="G270">
        <v>0.67100000000000004</v>
      </c>
      <c r="H270">
        <v>1</v>
      </c>
      <c r="I270">
        <v>0.502</v>
      </c>
      <c r="J270">
        <v>1.4239999999999999</v>
      </c>
      <c r="K270">
        <v>1.5740000000000001</v>
      </c>
      <c r="L270">
        <v>2.6520000000000001</v>
      </c>
      <c r="M270">
        <v>0.69399999999999995</v>
      </c>
      <c r="N270">
        <v>0.83599999999999997</v>
      </c>
      <c r="O270">
        <v>-1.6919999999999999</v>
      </c>
      <c r="P270">
        <v>4.6390000000000002</v>
      </c>
      <c r="Q270">
        <v>0</v>
      </c>
      <c r="R270">
        <v>4358.8</v>
      </c>
      <c r="S270">
        <v>1.98</v>
      </c>
      <c r="T270">
        <v>11.4</v>
      </c>
      <c r="U270">
        <v>3.16</v>
      </c>
      <c r="V270">
        <v>55.5</v>
      </c>
      <c r="W270" t="s">
        <v>54</v>
      </c>
      <c r="X270" t="s">
        <v>55</v>
      </c>
      <c r="Y270" t="s">
        <v>56</v>
      </c>
      <c r="Z270">
        <v>0.32300000000000001</v>
      </c>
      <c r="AA270">
        <v>0.52800000000000002</v>
      </c>
      <c r="AB270">
        <v>128</v>
      </c>
      <c r="AC270">
        <v>7.1</v>
      </c>
      <c r="AE270">
        <v>-87.466700000000003</v>
      </c>
      <c r="AF270">
        <v>15.1333</v>
      </c>
      <c r="AG270" t="s">
        <v>63</v>
      </c>
      <c r="AH270" t="s">
        <v>83</v>
      </c>
      <c r="AI270">
        <v>2183.7660000000001</v>
      </c>
      <c r="AJ270">
        <v>4.2316000000000003</v>
      </c>
      <c r="AK270">
        <v>17400000000</v>
      </c>
      <c r="AL270">
        <v>51.291829999999997</v>
      </c>
      <c r="AN270">
        <v>-15.342890000000001</v>
      </c>
      <c r="AO270">
        <v>74.845179999999999</v>
      </c>
      <c r="AP270">
        <v>135.749</v>
      </c>
      <c r="AQ270">
        <v>8.6502230000000004</v>
      </c>
      <c r="AR270">
        <v>17.114830000000001</v>
      </c>
      <c r="AS270">
        <v>1.9567270000000001</v>
      </c>
      <c r="AT270">
        <v>2.4336129999999998</v>
      </c>
      <c r="AU270">
        <v>2.8628640000000001</v>
      </c>
      <c r="AV270">
        <v>2.4336129999999998</v>
      </c>
      <c r="AW270">
        <v>23.581379999999999</v>
      </c>
      <c r="AX270">
        <v>4.46</v>
      </c>
      <c r="AY270">
        <v>1.2799745910751199</v>
      </c>
      <c r="AZ270" s="1">
        <v>0</v>
      </c>
      <c r="BA270" s="1">
        <v>9.1499999165535001E-2</v>
      </c>
      <c r="BB270" s="1">
        <v>9.1499999165535001E-2</v>
      </c>
      <c r="BC270" s="1">
        <v>2.3696847000000001</v>
      </c>
      <c r="BD270" s="2">
        <v>135.748955193054</v>
      </c>
      <c r="BE270" s="2">
        <f t="shared" si="8"/>
        <v>0.678320275136997</v>
      </c>
      <c r="BF270" s="2">
        <f t="shared" si="9"/>
        <v>0.50219670289490759</v>
      </c>
      <c r="BG270">
        <v>102378</v>
      </c>
      <c r="BH270" s="3">
        <v>2487</v>
      </c>
      <c r="BI270">
        <v>2.4897137880289515</v>
      </c>
      <c r="BJ270" s="3">
        <v>30864</v>
      </c>
      <c r="BK270">
        <v>616</v>
      </c>
      <c r="BL270">
        <v>2.0364982808780745</v>
      </c>
      <c r="BM270" s="3">
        <v>1007.2</v>
      </c>
      <c r="BN270">
        <v>81.100000000000023</v>
      </c>
      <c r="BO270">
        <v>8.7571536551128411</v>
      </c>
      <c r="BP270">
        <v>5643292754.4191198</v>
      </c>
      <c r="BQ270">
        <v>332372876.68297005</v>
      </c>
      <c r="BR270">
        <v>6.2582920536291047</v>
      </c>
      <c r="BS270">
        <v>0.51245499999999999</v>
      </c>
      <c r="BT270">
        <v>2.2018629999999999</v>
      </c>
      <c r="BU270">
        <v>0.78256904435056596</v>
      </c>
    </row>
    <row r="271" spans="1:73" x14ac:dyDescent="0.2">
      <c r="A271">
        <v>241</v>
      </c>
      <c r="B271" t="s">
        <v>81</v>
      </c>
      <c r="C271">
        <v>2009</v>
      </c>
      <c r="D271">
        <v>10</v>
      </c>
      <c r="E271">
        <v>0</v>
      </c>
      <c r="F271" t="s">
        <v>82</v>
      </c>
      <c r="G271">
        <v>0.67100000000000004</v>
      </c>
      <c r="H271">
        <v>0</v>
      </c>
      <c r="I271">
        <v>0.502</v>
      </c>
      <c r="J271">
        <v>1.4239999999999999</v>
      </c>
      <c r="K271">
        <v>1.5740000000000001</v>
      </c>
      <c r="L271">
        <v>2.6520000000000001</v>
      </c>
      <c r="M271">
        <v>0.69399999999999995</v>
      </c>
      <c r="N271">
        <v>0.83599999999999997</v>
      </c>
      <c r="O271">
        <v>-6.4000000000000001E-2</v>
      </c>
      <c r="P271">
        <v>5.6189999999999998</v>
      </c>
      <c r="Q271">
        <v>1</v>
      </c>
      <c r="R271">
        <v>4200.2</v>
      </c>
      <c r="S271">
        <v>-4.4640000000000004</v>
      </c>
      <c r="T271">
        <v>5.5</v>
      </c>
      <c r="U271">
        <v>3.29</v>
      </c>
      <c r="V271">
        <v>51.3</v>
      </c>
      <c r="W271" t="s">
        <v>54</v>
      </c>
      <c r="X271" t="s">
        <v>55</v>
      </c>
      <c r="Y271" t="s">
        <v>56</v>
      </c>
      <c r="Z271">
        <v>0.29699999999999999</v>
      </c>
      <c r="AA271">
        <v>0.47399999999999998</v>
      </c>
      <c r="AB271">
        <v>128</v>
      </c>
      <c r="AC271">
        <v>7.1</v>
      </c>
      <c r="AE271">
        <v>-87.466700000000003</v>
      </c>
      <c r="AF271">
        <v>15.1333</v>
      </c>
      <c r="AG271" t="s">
        <v>63</v>
      </c>
      <c r="AH271" t="s">
        <v>83</v>
      </c>
      <c r="AI271">
        <v>2086.2710000000002</v>
      </c>
      <c r="AJ271">
        <v>-2.4316279999999999</v>
      </c>
      <c r="AK271">
        <v>17000000000</v>
      </c>
      <c r="AL271">
        <v>50.33822</v>
      </c>
      <c r="AN271">
        <v>-3.815963</v>
      </c>
      <c r="AO271">
        <v>73.062799999999996</v>
      </c>
      <c r="AP271">
        <v>96.905010000000004</v>
      </c>
      <c r="AQ271">
        <v>3.389872</v>
      </c>
      <c r="AR271">
        <v>18.699739999999998</v>
      </c>
      <c r="AS271">
        <v>6.6632280000000002</v>
      </c>
      <c r="AT271">
        <v>1.7047479999999999</v>
      </c>
      <c r="AU271">
        <v>4.0959999999999998E-3</v>
      </c>
      <c r="AV271">
        <v>1.7047479999999999</v>
      </c>
      <c r="AW271">
        <v>23.556760000000001</v>
      </c>
      <c r="AX271">
        <v>5.9</v>
      </c>
      <c r="AY271">
        <v>2.57265364459266</v>
      </c>
      <c r="AZ271" s="1">
        <v>0</v>
      </c>
      <c r="BA271" s="1">
        <v>0.118500001728535</v>
      </c>
      <c r="BB271" s="1">
        <v>0.118500001728535</v>
      </c>
      <c r="BC271" s="1">
        <v>2.3696847000000001</v>
      </c>
      <c r="BD271" s="2">
        <v>96.905006018890006</v>
      </c>
      <c r="BE271" s="2">
        <f t="shared" si="8"/>
        <v>38.843949174163996</v>
      </c>
      <c r="BF271" s="2">
        <f t="shared" si="9"/>
        <v>28.614547433475614</v>
      </c>
      <c r="BG271">
        <v>102200</v>
      </c>
      <c r="BH271" s="3">
        <v>178</v>
      </c>
      <c r="BI271">
        <v>0.17386547891148488</v>
      </c>
      <c r="BJ271" s="3">
        <v>32394</v>
      </c>
      <c r="BK271">
        <v>1530</v>
      </c>
      <c r="BL271">
        <v>4.9572317262830481</v>
      </c>
      <c r="BM271" s="3">
        <v>505.3</v>
      </c>
      <c r="BN271">
        <v>501.90000000000003</v>
      </c>
      <c r="BO271">
        <v>49.831215250198568</v>
      </c>
      <c r="BP271">
        <v>3646340897.48036</v>
      </c>
      <c r="BQ271">
        <v>1996951856.9387598</v>
      </c>
      <c r="BR271">
        <v>35.386288534738824</v>
      </c>
      <c r="BS271">
        <v>1.5849089999999999</v>
      </c>
      <c r="BT271">
        <v>1.1402019999999999</v>
      </c>
      <c r="BU271">
        <v>-0.35763297492951601</v>
      </c>
    </row>
    <row r="272" spans="1:73" x14ac:dyDescent="0.2">
      <c r="A272">
        <v>242</v>
      </c>
      <c r="B272" t="s">
        <v>81</v>
      </c>
      <c r="C272">
        <v>2010</v>
      </c>
      <c r="D272">
        <v>10</v>
      </c>
      <c r="E272">
        <v>1</v>
      </c>
      <c r="F272" t="s">
        <v>82</v>
      </c>
      <c r="G272">
        <v>0.67100000000000004</v>
      </c>
      <c r="H272">
        <v>1</v>
      </c>
      <c r="I272">
        <v>0.223</v>
      </c>
      <c r="J272">
        <v>0.28000000000000003</v>
      </c>
      <c r="K272">
        <v>1.05</v>
      </c>
      <c r="L272">
        <v>1.1759999999999999</v>
      </c>
      <c r="M272">
        <v>0.45100000000000001</v>
      </c>
      <c r="N272">
        <v>0.48799999999999999</v>
      </c>
      <c r="O272">
        <v>1.036</v>
      </c>
      <c r="P272">
        <v>5.5949999999999998</v>
      </c>
      <c r="Q272">
        <v>0</v>
      </c>
      <c r="R272">
        <v>4305.8999999999996</v>
      </c>
      <c r="S272">
        <v>1.6519999999999999</v>
      </c>
      <c r="T272">
        <v>4.7</v>
      </c>
      <c r="U272">
        <v>4.12</v>
      </c>
      <c r="V272">
        <v>53.1</v>
      </c>
      <c r="W272" t="s">
        <v>54</v>
      </c>
      <c r="X272" t="s">
        <v>55</v>
      </c>
      <c r="Y272" t="s">
        <v>56</v>
      </c>
      <c r="Z272">
        <v>0.24399999999999999</v>
      </c>
      <c r="AA272">
        <v>0.41199999999999998</v>
      </c>
      <c r="AB272">
        <v>128</v>
      </c>
      <c r="AC272">
        <v>7.1</v>
      </c>
      <c r="AE272">
        <v>-87.466700000000003</v>
      </c>
      <c r="AF272">
        <v>15.1333</v>
      </c>
      <c r="AG272" t="s">
        <v>63</v>
      </c>
      <c r="AH272" t="s">
        <v>83</v>
      </c>
      <c r="AI272">
        <v>2120.7429999999999</v>
      </c>
      <c r="AJ272">
        <v>3.7311399999999999</v>
      </c>
      <c r="AK272">
        <v>17600000000</v>
      </c>
      <c r="AL272">
        <v>47.462249999999997</v>
      </c>
      <c r="AN272">
        <v>-5.0764290000000001</v>
      </c>
      <c r="AO272">
        <v>71.122770000000003</v>
      </c>
      <c r="AP272">
        <v>109.4418</v>
      </c>
      <c r="AQ272">
        <v>3.834606</v>
      </c>
      <c r="AR272">
        <v>17.92643</v>
      </c>
      <c r="AS272">
        <v>6.1627679999999998</v>
      </c>
      <c r="AT272">
        <v>1.5475620000000001</v>
      </c>
      <c r="AU272">
        <v>1.073296</v>
      </c>
      <c r="AV272">
        <v>1.5475620000000001</v>
      </c>
      <c r="AW272">
        <v>23.593389999999999</v>
      </c>
      <c r="AX272">
        <v>0.80000020000000005</v>
      </c>
      <c r="AY272">
        <v>3.4460854375099301</v>
      </c>
      <c r="AZ272" s="1">
        <v>0</v>
      </c>
      <c r="BA272" s="1">
        <v>0.118500001728535</v>
      </c>
      <c r="BB272" s="1">
        <v>0.118500001728535</v>
      </c>
      <c r="BC272" s="1">
        <v>2.3024170000000002</v>
      </c>
      <c r="BD272" s="2">
        <v>109.44183824168201</v>
      </c>
      <c r="BE272" s="2">
        <f t="shared" si="8"/>
        <v>12.536832222792</v>
      </c>
      <c r="BF272" s="2">
        <f t="shared" si="9"/>
        <v>12.937238990881601</v>
      </c>
      <c r="BG272">
        <v>115759</v>
      </c>
      <c r="BH272" s="3">
        <v>13559</v>
      </c>
      <c r="BI272">
        <v>13.267123287671232</v>
      </c>
      <c r="BJ272" s="3">
        <v>37375</v>
      </c>
      <c r="BK272">
        <v>4981</v>
      </c>
      <c r="BL272">
        <v>15.376304253874174</v>
      </c>
      <c r="BM272" s="3">
        <v>970.6</v>
      </c>
      <c r="BN272">
        <v>465.3</v>
      </c>
      <c r="BO272">
        <v>92.083910548189195</v>
      </c>
      <c r="BP272">
        <v>3697269094.7349701</v>
      </c>
      <c r="BQ272">
        <v>50928197.254610062</v>
      </c>
      <c r="BR272">
        <v>1.3966932518515123</v>
      </c>
      <c r="BS272">
        <v>0.77330589999999999</v>
      </c>
      <c r="BT272">
        <v>6.3165319999999996</v>
      </c>
      <c r="BU272">
        <v>-6.6741653782427299</v>
      </c>
    </row>
    <row r="273" spans="1:73" x14ac:dyDescent="0.2">
      <c r="A273">
        <v>243</v>
      </c>
      <c r="B273" t="s">
        <v>81</v>
      </c>
      <c r="C273">
        <v>2011</v>
      </c>
      <c r="D273">
        <v>10</v>
      </c>
      <c r="E273">
        <v>0</v>
      </c>
      <c r="F273" t="s">
        <v>82</v>
      </c>
      <c r="G273">
        <v>0.67100000000000004</v>
      </c>
      <c r="H273">
        <v>0</v>
      </c>
      <c r="I273">
        <v>0.223</v>
      </c>
      <c r="J273">
        <v>0.28000000000000003</v>
      </c>
      <c r="K273">
        <v>1.05</v>
      </c>
      <c r="L273">
        <v>1.1759999999999999</v>
      </c>
      <c r="M273">
        <v>0.45100000000000001</v>
      </c>
      <c r="N273">
        <v>0.48799999999999999</v>
      </c>
      <c r="O273">
        <v>0.77400000000000002</v>
      </c>
      <c r="P273">
        <v>5.4480000000000004</v>
      </c>
      <c r="Q273">
        <v>0</v>
      </c>
      <c r="R273">
        <v>4421</v>
      </c>
      <c r="S273">
        <v>1.837</v>
      </c>
      <c r="T273">
        <v>6.76</v>
      </c>
      <c r="U273">
        <v>4.47</v>
      </c>
      <c r="V273">
        <v>56.2</v>
      </c>
      <c r="W273" t="s">
        <v>54</v>
      </c>
      <c r="X273" t="s">
        <v>55</v>
      </c>
      <c r="Y273" t="s">
        <v>56</v>
      </c>
      <c r="Z273">
        <v>0.252</v>
      </c>
      <c r="AA273">
        <v>0.41899999999999998</v>
      </c>
      <c r="AB273">
        <v>128</v>
      </c>
      <c r="AC273">
        <v>7.1</v>
      </c>
      <c r="AE273">
        <v>-87.466700000000003</v>
      </c>
      <c r="AF273">
        <v>15.1333</v>
      </c>
      <c r="AG273" t="s">
        <v>63</v>
      </c>
      <c r="AH273" t="s">
        <v>83</v>
      </c>
      <c r="AI273">
        <v>2159.7109999999998</v>
      </c>
      <c r="AJ273">
        <v>3.8356910000000002</v>
      </c>
      <c r="AK273">
        <v>18300000000</v>
      </c>
      <c r="AL273">
        <v>47.309229999999999</v>
      </c>
      <c r="AN273">
        <v>-7.9539</v>
      </c>
      <c r="AO273">
        <v>69.197749999999999</v>
      </c>
      <c r="AP273">
        <v>122.2169</v>
      </c>
      <c r="AQ273">
        <v>5.8868010000000002</v>
      </c>
      <c r="AR273">
        <v>16.06437</v>
      </c>
      <c r="AS273">
        <v>0.1045504</v>
      </c>
      <c r="AT273">
        <v>1.9110229999999999</v>
      </c>
      <c r="AU273">
        <v>0.59907600000000005</v>
      </c>
      <c r="AV273">
        <v>1.9110229999999999</v>
      </c>
      <c r="AW273">
        <v>23.631029999999999</v>
      </c>
      <c r="AX273">
        <v>2.06</v>
      </c>
      <c r="AY273">
        <v>3.23804986501509</v>
      </c>
      <c r="AZ273" s="1">
        <v>0</v>
      </c>
      <c r="BA273" s="1">
        <v>0.118500001728535</v>
      </c>
      <c r="BB273" s="1">
        <v>0.118500001728535</v>
      </c>
      <c r="BC273" s="1">
        <v>2.3024170000000002</v>
      </c>
      <c r="BD273" s="2">
        <v>122.216902597337</v>
      </c>
      <c r="BE273" s="2">
        <f t="shared" si="8"/>
        <v>12.77506435565499</v>
      </c>
      <c r="BF273" s="2">
        <f t="shared" si="9"/>
        <v>11.672925602221364</v>
      </c>
      <c r="BG273">
        <v>130773</v>
      </c>
      <c r="BH273" s="3">
        <v>15014</v>
      </c>
      <c r="BI273">
        <v>12.970049844936463</v>
      </c>
      <c r="BJ273" s="3">
        <v>41225</v>
      </c>
      <c r="BK273">
        <v>3850</v>
      </c>
      <c r="BL273">
        <v>10.301003344481606</v>
      </c>
      <c r="BM273" s="3">
        <v>1012.3</v>
      </c>
      <c r="BN273">
        <v>41.699999999999932</v>
      </c>
      <c r="BO273">
        <v>4.2963115598598725</v>
      </c>
      <c r="BP273">
        <v>4321437526.6266804</v>
      </c>
      <c r="BQ273">
        <v>624168431.89171028</v>
      </c>
      <c r="BR273">
        <v>16.881877296422545</v>
      </c>
      <c r="BS273">
        <v>1.8620620000000001</v>
      </c>
      <c r="BT273">
        <v>10.291359999999999</v>
      </c>
      <c r="BU273">
        <v>3.6171903312482798</v>
      </c>
    </row>
    <row r="274" spans="1:73" x14ac:dyDescent="0.2">
      <c r="A274">
        <v>244</v>
      </c>
      <c r="B274" t="s">
        <v>81</v>
      </c>
      <c r="C274">
        <v>2012</v>
      </c>
      <c r="D274">
        <v>10</v>
      </c>
      <c r="E274">
        <v>0</v>
      </c>
      <c r="F274" t="s">
        <v>82</v>
      </c>
      <c r="G274">
        <v>0.67100000000000004</v>
      </c>
      <c r="H274">
        <v>0</v>
      </c>
      <c r="I274">
        <v>0.223</v>
      </c>
      <c r="J274">
        <v>0.28000000000000003</v>
      </c>
      <c r="K274">
        <v>1.05</v>
      </c>
      <c r="L274">
        <v>1.1759999999999999</v>
      </c>
      <c r="M274">
        <v>0.45100000000000001</v>
      </c>
      <c r="N274">
        <v>0.48799999999999999</v>
      </c>
      <c r="O274">
        <v>6.8000000000000005E-2</v>
      </c>
      <c r="P274">
        <v>5.4480000000000004</v>
      </c>
      <c r="Q274">
        <v>0</v>
      </c>
      <c r="R274">
        <v>4518</v>
      </c>
      <c r="S274">
        <v>2.2000000000000002</v>
      </c>
      <c r="T274">
        <v>5.2</v>
      </c>
      <c r="U274">
        <v>3.75</v>
      </c>
      <c r="V274">
        <v>56.1</v>
      </c>
      <c r="W274" t="s">
        <v>54</v>
      </c>
      <c r="X274" t="s">
        <v>55</v>
      </c>
      <c r="Y274" t="s">
        <v>56</v>
      </c>
      <c r="Z274">
        <v>0.24199999999999999</v>
      </c>
      <c r="AA274">
        <v>0.41699999999999998</v>
      </c>
      <c r="AB274">
        <v>128</v>
      </c>
      <c r="AC274">
        <v>7.1</v>
      </c>
      <c r="AE274">
        <v>-87.466700000000003</v>
      </c>
      <c r="AF274">
        <v>15.1333</v>
      </c>
      <c r="AG274" t="s">
        <v>63</v>
      </c>
      <c r="AH274" t="s">
        <v>83</v>
      </c>
      <c r="AI274">
        <v>2207.23</v>
      </c>
      <c r="AJ274">
        <v>4.1286880000000004</v>
      </c>
      <c r="AK274">
        <v>19100000000</v>
      </c>
      <c r="AL274">
        <v>51.275649999999999</v>
      </c>
      <c r="AN274">
        <v>-8.5313839999999992</v>
      </c>
      <c r="AO274">
        <v>67.155529999999999</v>
      </c>
      <c r="AP274">
        <v>121.18819999999999</v>
      </c>
      <c r="AQ274">
        <v>5.8360950000000003</v>
      </c>
      <c r="AR274">
        <v>16.201779999999999</v>
      </c>
      <c r="AS274">
        <v>0.29299710000000001</v>
      </c>
      <c r="AT274">
        <v>1.6486590000000001</v>
      </c>
      <c r="AU274">
        <v>4.6239999999999996E-3</v>
      </c>
      <c r="AV274">
        <v>1.6486590000000001</v>
      </c>
      <c r="AW274">
        <v>23.671489999999999</v>
      </c>
      <c r="AX274">
        <v>1.56</v>
      </c>
      <c r="AY274">
        <v>2.6774654597427299</v>
      </c>
      <c r="AZ274" s="1">
        <v>0</v>
      </c>
      <c r="BA274" s="1">
        <v>0.118500001728535</v>
      </c>
      <c r="BB274" s="1">
        <v>0.118500001728535</v>
      </c>
      <c r="BC274" s="1">
        <v>2.3024170000000002</v>
      </c>
      <c r="BD274" s="2">
        <v>121.18821580828499</v>
      </c>
      <c r="BE274" s="2">
        <f t="shared" si="8"/>
        <v>1.0286867890520028</v>
      </c>
      <c r="BF274" s="2">
        <f t="shared" si="9"/>
        <v>0.84168946126966981</v>
      </c>
      <c r="BG274">
        <v>136501</v>
      </c>
      <c r="BH274" s="3">
        <v>5728</v>
      </c>
      <c r="BI274">
        <v>4.3801090439157928</v>
      </c>
      <c r="BJ274" s="3">
        <v>38400</v>
      </c>
      <c r="BK274">
        <v>2825</v>
      </c>
      <c r="BL274">
        <v>6.8526379624014551</v>
      </c>
      <c r="BM274" s="3">
        <v>851.1</v>
      </c>
      <c r="BN274">
        <v>161.19999999999993</v>
      </c>
      <c r="BO274">
        <v>15.924133162106088</v>
      </c>
      <c r="BP274">
        <v>4482436724.4830198</v>
      </c>
      <c r="BQ274">
        <v>160999197.85633945</v>
      </c>
      <c r="BR274">
        <v>3.7255935522459267</v>
      </c>
      <c r="BS274">
        <v>0.13741300000000001</v>
      </c>
      <c r="BT274">
        <v>1.3900269999999999</v>
      </c>
      <c r="BU274">
        <v>2.2271634775118399</v>
      </c>
    </row>
    <row r="275" spans="1:73" x14ac:dyDescent="0.2">
      <c r="A275">
        <v>245</v>
      </c>
      <c r="B275" t="s">
        <v>81</v>
      </c>
      <c r="C275">
        <v>2013</v>
      </c>
      <c r="D275">
        <v>10</v>
      </c>
      <c r="E275">
        <v>0</v>
      </c>
      <c r="F275" t="s">
        <v>82</v>
      </c>
      <c r="G275">
        <v>0.67100000000000004</v>
      </c>
      <c r="H275">
        <v>0</v>
      </c>
      <c r="I275">
        <v>0.223</v>
      </c>
      <c r="J275">
        <v>0.28000000000000003</v>
      </c>
      <c r="K275">
        <v>1.05</v>
      </c>
      <c r="L275">
        <v>1.1759999999999999</v>
      </c>
      <c r="M275">
        <v>0.45100000000000001</v>
      </c>
      <c r="N275">
        <v>0.48799999999999999</v>
      </c>
      <c r="O275">
        <v>6.8000000000000005E-2</v>
      </c>
      <c r="P275">
        <v>4.3369999999999997</v>
      </c>
      <c r="Q275">
        <v>1</v>
      </c>
      <c r="R275">
        <v>4561</v>
      </c>
      <c r="S275">
        <v>0.94799999999999995</v>
      </c>
      <c r="T275">
        <v>5.16</v>
      </c>
      <c r="U275">
        <v>5.65</v>
      </c>
      <c r="V275">
        <v>52.6</v>
      </c>
      <c r="W275" t="s">
        <v>54</v>
      </c>
      <c r="X275" t="s">
        <v>55</v>
      </c>
      <c r="Y275" t="s">
        <v>56</v>
      </c>
      <c r="Z275">
        <v>0.26</v>
      </c>
      <c r="AA275">
        <v>0.42099999999999999</v>
      </c>
      <c r="AB275">
        <v>128</v>
      </c>
      <c r="AC275">
        <v>7.1</v>
      </c>
      <c r="AE275">
        <v>-87.466700000000003</v>
      </c>
      <c r="AF275">
        <v>15.1333</v>
      </c>
      <c r="AG275" t="s">
        <v>63</v>
      </c>
      <c r="AH275" t="s">
        <v>83</v>
      </c>
      <c r="AI275">
        <v>2228.1469999999999</v>
      </c>
      <c r="AJ275">
        <v>2.79156</v>
      </c>
      <c r="AK275">
        <v>19600000000</v>
      </c>
      <c r="AL275">
        <v>54.72269</v>
      </c>
      <c r="AN275">
        <v>-9.5273040000000009</v>
      </c>
      <c r="AO275">
        <v>65.092839999999995</v>
      </c>
      <c r="AP275">
        <v>116.306</v>
      </c>
      <c r="AQ275">
        <v>5.7786270000000002</v>
      </c>
      <c r="AR275">
        <v>16.733809999999998</v>
      </c>
      <c r="AS275">
        <v>1.3371280000000001</v>
      </c>
      <c r="AT275">
        <v>1.640936</v>
      </c>
      <c r="AU275">
        <v>4.6239999999999996E-3</v>
      </c>
      <c r="AV275">
        <v>1.640936</v>
      </c>
      <c r="AW275">
        <v>23.699020000000001</v>
      </c>
      <c r="AX275">
        <v>0.04</v>
      </c>
      <c r="AY275">
        <v>2.6774654597427299</v>
      </c>
      <c r="AZ275" s="1">
        <v>0.220999985933304</v>
      </c>
      <c r="BA275" s="1">
        <v>0.20450000464916199</v>
      </c>
      <c r="BB275" s="1">
        <v>0.42549997568130499</v>
      </c>
      <c r="BC275" s="1">
        <v>2.3024170000000002</v>
      </c>
      <c r="BD275" s="2">
        <v>116.30604924743599</v>
      </c>
      <c r="BE275" s="2">
        <f t="shared" si="8"/>
        <v>4.8821665608490008</v>
      </c>
      <c r="BF275" s="2">
        <f t="shared" si="9"/>
        <v>4.0285819279428923</v>
      </c>
      <c r="BG275">
        <v>147468</v>
      </c>
      <c r="BH275" s="3">
        <v>10967</v>
      </c>
      <c r="BI275">
        <v>8.0343733745540327</v>
      </c>
      <c r="BJ275" s="3">
        <v>40120</v>
      </c>
      <c r="BK275">
        <v>1720</v>
      </c>
      <c r="BL275">
        <v>4.479166666666667</v>
      </c>
      <c r="BM275" s="3">
        <v>991.5</v>
      </c>
      <c r="BN275">
        <v>140.39999999999998</v>
      </c>
      <c r="BO275">
        <v>16.496298907296438</v>
      </c>
      <c r="BP275">
        <v>4396631859.1201</v>
      </c>
      <c r="BQ275">
        <v>85804865.362919807</v>
      </c>
      <c r="BR275">
        <v>1.9142459924588469</v>
      </c>
      <c r="BS275">
        <v>0.53203009999999995</v>
      </c>
      <c r="BT275">
        <v>1.9976399999999998E-2</v>
      </c>
      <c r="BU275">
        <v>2.2471398302091199</v>
      </c>
    </row>
    <row r="276" spans="1:73" x14ac:dyDescent="0.2">
      <c r="A276">
        <v>246</v>
      </c>
      <c r="B276" t="s">
        <v>81</v>
      </c>
      <c r="C276">
        <v>2014</v>
      </c>
      <c r="D276">
        <v>10</v>
      </c>
      <c r="E276">
        <v>1</v>
      </c>
      <c r="F276" t="s">
        <v>82</v>
      </c>
      <c r="G276">
        <v>0.67100000000000004</v>
      </c>
      <c r="H276">
        <v>1</v>
      </c>
      <c r="I276">
        <v>2.9550000000000001</v>
      </c>
      <c r="J276">
        <v>2.976</v>
      </c>
      <c r="K276">
        <v>3.82</v>
      </c>
      <c r="L276">
        <v>3.8340000000000001</v>
      </c>
      <c r="M276">
        <v>1.4850000000000001</v>
      </c>
      <c r="N276">
        <v>1.49</v>
      </c>
      <c r="O276">
        <v>-0.316</v>
      </c>
      <c r="P276">
        <v>4.3369999999999997</v>
      </c>
      <c r="Q276">
        <v>0</v>
      </c>
      <c r="R276">
        <v>4620</v>
      </c>
      <c r="S276">
        <v>1.2509999999999999</v>
      </c>
      <c r="T276">
        <v>6.13</v>
      </c>
      <c r="U276">
        <v>7.08</v>
      </c>
      <c r="V276">
        <v>50.3</v>
      </c>
      <c r="W276" t="s">
        <v>54</v>
      </c>
      <c r="X276" t="s">
        <v>55</v>
      </c>
      <c r="Y276" t="s">
        <v>56</v>
      </c>
      <c r="Z276">
        <v>0.27900000000000003</v>
      </c>
      <c r="AA276">
        <v>0.45</v>
      </c>
      <c r="AB276">
        <v>128</v>
      </c>
      <c r="AC276">
        <v>7.1</v>
      </c>
      <c r="AE276">
        <v>-87.466700000000003</v>
      </c>
      <c r="AF276">
        <v>15.1333</v>
      </c>
      <c r="AG276" t="s">
        <v>63</v>
      </c>
      <c r="AH276" t="s">
        <v>83</v>
      </c>
      <c r="AI276">
        <v>2256.0149999999999</v>
      </c>
      <c r="AJ276">
        <v>3.058081</v>
      </c>
      <c r="AK276">
        <v>20200000000</v>
      </c>
      <c r="AL276">
        <v>55.086939999999998</v>
      </c>
      <c r="AN276">
        <v>-6.9451799999999997</v>
      </c>
      <c r="AO276">
        <v>63.15795</v>
      </c>
      <c r="AP276">
        <v>112.9751</v>
      </c>
      <c r="AQ276">
        <v>8.6290139999999997</v>
      </c>
      <c r="AR276">
        <v>15.33231</v>
      </c>
      <c r="AS276">
        <v>0.26652100000000001</v>
      </c>
      <c r="AT276">
        <v>1.8131949999999999</v>
      </c>
      <c r="AU276">
        <v>9.9856E-2</v>
      </c>
      <c r="AV276">
        <v>1.8131949999999999</v>
      </c>
      <c r="AW276">
        <v>23.729140000000001</v>
      </c>
      <c r="AX276">
        <v>0.97000030000000004</v>
      </c>
      <c r="AY276">
        <v>2.3725583611243501</v>
      </c>
      <c r="AZ276" s="1">
        <v>0.220999985933304</v>
      </c>
      <c r="BA276" s="1">
        <v>0.20450000464916199</v>
      </c>
      <c r="BB276" s="1">
        <v>0.42549997568130499</v>
      </c>
      <c r="BC276" s="1">
        <v>3.5819852000000001</v>
      </c>
      <c r="BD276" s="2">
        <v>112.97509728471</v>
      </c>
      <c r="BE276" s="2">
        <f t="shared" si="8"/>
        <v>3.3309519627259903</v>
      </c>
      <c r="BF276" s="2">
        <f t="shared" si="9"/>
        <v>2.8639541831908817</v>
      </c>
      <c r="BG276">
        <v>163249</v>
      </c>
      <c r="BH276" s="3">
        <v>15781</v>
      </c>
      <c r="BI276">
        <v>10.701304689831014</v>
      </c>
      <c r="BJ276" s="3">
        <v>45522</v>
      </c>
      <c r="BK276">
        <v>5402</v>
      </c>
      <c r="BL276">
        <v>13.464606181455633</v>
      </c>
      <c r="BM276" s="3">
        <v>1314.9</v>
      </c>
      <c r="BN276">
        <v>323.40000000000009</v>
      </c>
      <c r="BO276">
        <v>32.617246596066572</v>
      </c>
      <c r="BP276">
        <v>4424733837.7210798</v>
      </c>
      <c r="BQ276">
        <v>28101978.600979805</v>
      </c>
      <c r="BR276">
        <v>0.6391706083530011</v>
      </c>
      <c r="BS276">
        <v>1.4015010000000001</v>
      </c>
      <c r="BT276">
        <v>2.2176870000000002</v>
      </c>
      <c r="BU276">
        <v>2.9452795069488499E-2</v>
      </c>
    </row>
    <row r="277" spans="1:73" x14ac:dyDescent="0.2">
      <c r="A277">
        <v>247</v>
      </c>
      <c r="B277" t="s">
        <v>81</v>
      </c>
      <c r="C277">
        <v>2015</v>
      </c>
      <c r="D277">
        <v>10</v>
      </c>
      <c r="E277">
        <v>0</v>
      </c>
      <c r="F277" t="s">
        <v>82</v>
      </c>
      <c r="G277">
        <v>0.67100000000000004</v>
      </c>
      <c r="H277">
        <v>0</v>
      </c>
      <c r="I277">
        <v>2.9550000000000001</v>
      </c>
      <c r="J277">
        <v>2.976</v>
      </c>
      <c r="K277">
        <v>3.82</v>
      </c>
      <c r="L277">
        <v>3.8340000000000001</v>
      </c>
      <c r="M277">
        <v>1.4850000000000001</v>
      </c>
      <c r="N277">
        <v>1.49</v>
      </c>
      <c r="O277">
        <v>-0.316</v>
      </c>
      <c r="P277">
        <v>6.0220000000000002</v>
      </c>
      <c r="Q277">
        <v>0</v>
      </c>
      <c r="R277">
        <v>4706</v>
      </c>
      <c r="S277">
        <v>2.0470000000000002</v>
      </c>
      <c r="T277">
        <v>3.16</v>
      </c>
      <c r="U277">
        <v>6.15</v>
      </c>
      <c r="V277">
        <v>49.8</v>
      </c>
      <c r="W277" t="s">
        <v>54</v>
      </c>
      <c r="X277" t="s">
        <v>55</v>
      </c>
      <c r="Y277" t="s">
        <v>56</v>
      </c>
      <c r="Z277">
        <v>0.255</v>
      </c>
      <c r="AA277">
        <v>0.44600000000000001</v>
      </c>
      <c r="AB277">
        <v>128</v>
      </c>
      <c r="AC277">
        <v>7.1</v>
      </c>
      <c r="AE277">
        <v>-87.466700000000003</v>
      </c>
      <c r="AF277">
        <v>15.1333</v>
      </c>
      <c r="AG277" t="s">
        <v>63</v>
      </c>
      <c r="AH277" t="s">
        <v>83</v>
      </c>
      <c r="AI277">
        <v>2302.2040000000002</v>
      </c>
      <c r="AJ277">
        <v>3.8400799999999999</v>
      </c>
      <c r="AK277">
        <v>21000000000</v>
      </c>
      <c r="AL277">
        <v>54.593600000000002</v>
      </c>
      <c r="AN277">
        <v>-4.6709069999999997</v>
      </c>
      <c r="AO277">
        <v>61.429600000000001</v>
      </c>
      <c r="AP277">
        <v>107.26439999999999</v>
      </c>
      <c r="AQ277">
        <v>6.2759499999999999</v>
      </c>
      <c r="AR277">
        <v>14.305249999999999</v>
      </c>
      <c r="AS277">
        <v>0.78199929999999995</v>
      </c>
      <c r="AT277">
        <v>1.1505719999999999</v>
      </c>
      <c r="AU277">
        <v>9.9856E-2</v>
      </c>
      <c r="AV277">
        <v>1.1505719999999999</v>
      </c>
      <c r="AW277">
        <v>23.766819999999999</v>
      </c>
      <c r="AX277">
        <v>2.97</v>
      </c>
      <c r="AY277">
        <v>2.3725583611243501</v>
      </c>
      <c r="AZ277" s="1">
        <v>0.220999985933304</v>
      </c>
      <c r="BA277" s="1">
        <v>0.20450000464916199</v>
      </c>
      <c r="BB277" s="1">
        <v>0.42549997568130499</v>
      </c>
      <c r="BC277" s="1">
        <v>3.5819852000000001</v>
      </c>
      <c r="BD277" s="2">
        <v>107.26440535424</v>
      </c>
      <c r="BE277" s="2">
        <f t="shared" si="8"/>
        <v>5.7106919304700057</v>
      </c>
      <c r="BF277" s="2">
        <f t="shared" si="9"/>
        <v>5.0548236449652411</v>
      </c>
      <c r="BG277">
        <v>180775</v>
      </c>
      <c r="BH277" s="3">
        <v>17526</v>
      </c>
      <c r="BI277">
        <v>10.735747232754871</v>
      </c>
      <c r="BJ277" s="3">
        <v>52279</v>
      </c>
      <c r="BK277">
        <v>6757</v>
      </c>
      <c r="BL277">
        <v>14.843372435306005</v>
      </c>
      <c r="BM277" s="3">
        <v>951.6</v>
      </c>
      <c r="BN277">
        <v>363.30000000000007</v>
      </c>
      <c r="BO277">
        <v>27.629477526808127</v>
      </c>
      <c r="BP277">
        <v>4968644623.8813</v>
      </c>
      <c r="BQ277">
        <v>543910786.16022015</v>
      </c>
      <c r="BR277">
        <v>12.292508569065854</v>
      </c>
      <c r="BS277">
        <v>1.0270649999999999</v>
      </c>
      <c r="BT277">
        <v>1.5145820000000001</v>
      </c>
      <c r="BU277">
        <v>1.54403510691023</v>
      </c>
    </row>
    <row r="278" spans="1:73" x14ac:dyDescent="0.2">
      <c r="A278">
        <v>248</v>
      </c>
      <c r="B278" t="s">
        <v>81</v>
      </c>
      <c r="C278">
        <v>2016</v>
      </c>
      <c r="D278">
        <v>10</v>
      </c>
      <c r="E278">
        <v>0</v>
      </c>
      <c r="F278" t="s">
        <v>82</v>
      </c>
      <c r="G278">
        <v>0.67100000000000004</v>
      </c>
      <c r="H278">
        <v>0</v>
      </c>
      <c r="I278">
        <v>2.9550000000000001</v>
      </c>
      <c r="J278">
        <v>2.976</v>
      </c>
      <c r="K278">
        <v>3.82</v>
      </c>
      <c r="L278">
        <v>3.8340000000000001</v>
      </c>
      <c r="M278">
        <v>1.4850000000000001</v>
      </c>
      <c r="N278">
        <v>1.49</v>
      </c>
      <c r="O278">
        <v>-0.316</v>
      </c>
      <c r="P278">
        <v>7.226</v>
      </c>
      <c r="Q278">
        <v>0</v>
      </c>
      <c r="R278">
        <v>4796</v>
      </c>
      <c r="S278">
        <v>2.1240000000000001</v>
      </c>
      <c r="T278">
        <v>2.72</v>
      </c>
      <c r="U278">
        <v>6.73</v>
      </c>
      <c r="V278">
        <v>49.8</v>
      </c>
      <c r="W278" t="s">
        <v>54</v>
      </c>
      <c r="X278" t="s">
        <v>55</v>
      </c>
      <c r="Y278" t="s">
        <v>56</v>
      </c>
      <c r="Z278">
        <v>0.26600000000000001</v>
      </c>
      <c r="AA278">
        <v>0.44500000000000001</v>
      </c>
      <c r="AB278">
        <v>128</v>
      </c>
      <c r="AC278">
        <v>7.1</v>
      </c>
      <c r="AE278">
        <v>-87.466700000000003</v>
      </c>
      <c r="AF278">
        <v>15.1333</v>
      </c>
      <c r="AG278" t="s">
        <v>63</v>
      </c>
      <c r="AH278" t="s">
        <v>83</v>
      </c>
      <c r="AI278">
        <v>2351.0940000000001</v>
      </c>
      <c r="AJ278">
        <v>3.8929719999999999</v>
      </c>
      <c r="AK278">
        <v>21800000000</v>
      </c>
      <c r="AL278">
        <v>57.547759999999997</v>
      </c>
      <c r="AN278">
        <v>-3.1434120000000001</v>
      </c>
      <c r="AO278">
        <v>59.848990000000001</v>
      </c>
      <c r="AP278">
        <v>99.815719999999999</v>
      </c>
      <c r="AQ278">
        <v>5.2815659999999998</v>
      </c>
      <c r="AR278">
        <v>14.113939999999999</v>
      </c>
      <c r="AS278">
        <v>5.28922E-2</v>
      </c>
      <c r="AT278">
        <v>1.000632</v>
      </c>
      <c r="AU278">
        <v>9.9856E-2</v>
      </c>
      <c r="AV278">
        <v>1.000632</v>
      </c>
      <c r="AW278">
        <v>23.805019999999999</v>
      </c>
      <c r="AX278">
        <v>0.44000010000000001</v>
      </c>
      <c r="AY278">
        <v>2.3725583611243501</v>
      </c>
      <c r="AZ278" s="1">
        <v>0.220999985933304</v>
      </c>
      <c r="BA278" s="1">
        <v>0.20450000464916199</v>
      </c>
      <c r="BB278" s="1">
        <v>0.42549997568130499</v>
      </c>
      <c r="BC278" s="1">
        <v>3.5819852000000001</v>
      </c>
      <c r="BD278" s="2">
        <v>99.815716950592005</v>
      </c>
      <c r="BE278" s="2">
        <f t="shared" si="8"/>
        <v>7.4486884036479921</v>
      </c>
      <c r="BF278" s="2">
        <f t="shared" si="9"/>
        <v>6.9442312937350907</v>
      </c>
      <c r="BG278">
        <v>209545</v>
      </c>
      <c r="BH278" s="3">
        <v>28770</v>
      </c>
      <c r="BI278">
        <v>15.914811229428848</v>
      </c>
      <c r="BJ278" s="3">
        <v>58008</v>
      </c>
      <c r="BK278">
        <v>5729</v>
      </c>
      <c r="BL278">
        <v>10.958511065628647</v>
      </c>
      <c r="BM278" s="3">
        <v>900.1</v>
      </c>
      <c r="BN278">
        <v>51.5</v>
      </c>
      <c r="BO278">
        <v>5.4119377889869691</v>
      </c>
      <c r="BP278">
        <v>4602811390.48528</v>
      </c>
      <c r="BQ278">
        <v>365833233.39601994</v>
      </c>
      <c r="BR278">
        <v>7.3628375762210601</v>
      </c>
      <c r="BS278">
        <v>0.1913099</v>
      </c>
      <c r="BT278">
        <v>0.47500170000000003</v>
      </c>
      <c r="BU278">
        <v>2.0190368837181398</v>
      </c>
    </row>
    <row r="279" spans="1:73" x14ac:dyDescent="0.2">
      <c r="A279">
        <v>249</v>
      </c>
      <c r="B279" t="s">
        <v>81</v>
      </c>
      <c r="C279">
        <v>2017</v>
      </c>
      <c r="D279">
        <v>10</v>
      </c>
      <c r="E279">
        <v>0</v>
      </c>
      <c r="F279" t="s">
        <v>82</v>
      </c>
      <c r="G279">
        <v>0.67100000000000004</v>
      </c>
      <c r="H279">
        <v>0</v>
      </c>
      <c r="I279">
        <v>2.9550000000000001</v>
      </c>
      <c r="J279">
        <v>2.976</v>
      </c>
      <c r="K279">
        <v>3.82</v>
      </c>
      <c r="L279">
        <v>3.8340000000000001</v>
      </c>
      <c r="M279">
        <v>1.4850000000000001</v>
      </c>
      <c r="N279">
        <v>1.49</v>
      </c>
      <c r="O279">
        <v>0.63600000000000001</v>
      </c>
      <c r="P279">
        <v>6.9189999999999996</v>
      </c>
      <c r="Q279">
        <v>1</v>
      </c>
      <c r="R279">
        <v>4941.3</v>
      </c>
      <c r="S279">
        <v>3.0840000000000001</v>
      </c>
      <c r="T279">
        <v>3.93</v>
      </c>
      <c r="U279">
        <v>5.53</v>
      </c>
      <c r="V279">
        <v>49.4</v>
      </c>
      <c r="W279" t="s">
        <v>54</v>
      </c>
      <c r="X279" t="s">
        <v>55</v>
      </c>
      <c r="Y279" t="s">
        <v>56</v>
      </c>
      <c r="Z279">
        <v>0.25900000000000001</v>
      </c>
      <c r="AA279">
        <v>0.44500000000000001</v>
      </c>
      <c r="AB279">
        <v>128</v>
      </c>
      <c r="AC279">
        <v>7.1</v>
      </c>
      <c r="AE279">
        <v>-87.466700000000003</v>
      </c>
      <c r="AF279">
        <v>15.1333</v>
      </c>
      <c r="AG279" t="s">
        <v>63</v>
      </c>
      <c r="AH279" t="s">
        <v>83</v>
      </c>
      <c r="AI279">
        <v>2423.5920000000001</v>
      </c>
      <c r="AJ279">
        <v>4.8429140000000004</v>
      </c>
      <c r="AK279">
        <v>22900000000</v>
      </c>
      <c r="AL279">
        <v>57.631320000000002</v>
      </c>
      <c r="AN279">
        <v>-1.2458959999999999</v>
      </c>
      <c r="AO279">
        <v>58.493470000000002</v>
      </c>
      <c r="AP279">
        <v>101.81310000000001</v>
      </c>
      <c r="AQ279">
        <v>4.1059229999999998</v>
      </c>
      <c r="AR279">
        <v>13.498419999999999</v>
      </c>
      <c r="AS279">
        <v>0.94994190000000001</v>
      </c>
      <c r="AT279">
        <v>1.3686389999999999</v>
      </c>
      <c r="AU279">
        <v>0.40449600000000002</v>
      </c>
      <c r="AV279">
        <v>1.3686389999999999</v>
      </c>
      <c r="AW279">
        <v>23.852309999999999</v>
      </c>
      <c r="AX279">
        <v>1.21</v>
      </c>
      <c r="AY279">
        <v>3.1284738764491</v>
      </c>
      <c r="AZ279" s="1" t="s">
        <v>101</v>
      </c>
      <c r="BA279" s="1" t="s">
        <v>101</v>
      </c>
      <c r="BB279" s="1" t="s">
        <v>101</v>
      </c>
      <c r="BC279" s="1" t="s">
        <v>101</v>
      </c>
      <c r="BD279" s="2">
        <v>101.813111079622</v>
      </c>
      <c r="BE279" s="2">
        <f t="shared" si="8"/>
        <v>1.997394129029999</v>
      </c>
      <c r="BF279" s="2">
        <f t="shared" si="9"/>
        <v>2.0010817835618946</v>
      </c>
      <c r="BG279">
        <v>238495</v>
      </c>
      <c r="BH279" s="3">
        <v>28950</v>
      </c>
      <c r="BI279">
        <v>13.815648190126225</v>
      </c>
      <c r="BJ279" s="3">
        <v>66759</v>
      </c>
      <c r="BK279">
        <v>8751</v>
      </c>
      <c r="BL279">
        <v>15.08585022755482</v>
      </c>
      <c r="BM279" s="3">
        <v>1035.0999999999999</v>
      </c>
      <c r="BN279">
        <v>134.99999999999989</v>
      </c>
      <c r="BO279">
        <v>14.998333518497931</v>
      </c>
      <c r="BP279">
        <v>5116991439.9399796</v>
      </c>
      <c r="BQ279">
        <v>514180049.45469952</v>
      </c>
      <c r="BR279">
        <v>11.170999761528115</v>
      </c>
      <c r="BS279">
        <v>0.6155195</v>
      </c>
      <c r="BT279">
        <v>0.61601609999999996</v>
      </c>
      <c r="BU279">
        <v>1.40302067337798</v>
      </c>
    </row>
    <row r="280" spans="1:73" x14ac:dyDescent="0.2">
      <c r="A280">
        <v>250</v>
      </c>
      <c r="B280" t="s">
        <v>81</v>
      </c>
      <c r="C280">
        <v>2018</v>
      </c>
      <c r="D280">
        <v>10</v>
      </c>
      <c r="E280">
        <v>1</v>
      </c>
      <c r="F280" t="s">
        <v>82</v>
      </c>
      <c r="G280">
        <v>0.67100000000000004</v>
      </c>
      <c r="H280">
        <v>0</v>
      </c>
      <c r="I280">
        <v>3.3010000000000002</v>
      </c>
      <c r="J280">
        <v>2.4369999999999998</v>
      </c>
      <c r="K280">
        <v>4.0380000000000003</v>
      </c>
      <c r="L280">
        <v>3.4689999999999999</v>
      </c>
      <c r="M280">
        <v>1.724</v>
      </c>
      <c r="N280">
        <v>1.262</v>
      </c>
      <c r="O280">
        <v>1.012</v>
      </c>
      <c r="P280">
        <v>6.7640000000000002</v>
      </c>
      <c r="Q280">
        <v>0</v>
      </c>
      <c r="R280">
        <v>5041.6000000000004</v>
      </c>
      <c r="S280">
        <v>1.982</v>
      </c>
      <c r="T280">
        <v>4.3499999999999996</v>
      </c>
      <c r="U280">
        <v>5.65</v>
      </c>
      <c r="V280">
        <v>48.9</v>
      </c>
      <c r="W280" t="s">
        <v>54</v>
      </c>
      <c r="X280" t="s">
        <v>55</v>
      </c>
      <c r="Y280" t="s">
        <v>56</v>
      </c>
      <c r="Z280">
        <v>0.24399999999999999</v>
      </c>
      <c r="AA280">
        <v>0.378</v>
      </c>
      <c r="AB280">
        <v>128</v>
      </c>
      <c r="AC280">
        <v>7.1</v>
      </c>
      <c r="AE280">
        <v>-87.466700000000003</v>
      </c>
      <c r="AF280">
        <v>15.1333</v>
      </c>
      <c r="AG280" t="s">
        <v>63</v>
      </c>
      <c r="AH280" t="s">
        <v>83</v>
      </c>
      <c r="AI280">
        <v>2475.17</v>
      </c>
      <c r="AJ280">
        <v>3.8449949999999999</v>
      </c>
      <c r="AK280">
        <v>23700000000</v>
      </c>
      <c r="AL280">
        <v>62.748309999999996</v>
      </c>
      <c r="AN280">
        <v>-6.5723390000000004</v>
      </c>
      <c r="AO280">
        <v>57.310609999999997</v>
      </c>
      <c r="AP280">
        <v>103.55119999999999</v>
      </c>
      <c r="AQ280">
        <v>5.9938539999999998</v>
      </c>
      <c r="AR280">
        <v>13.462249999999999</v>
      </c>
      <c r="AS280">
        <v>0.99791929999999995</v>
      </c>
      <c r="AT280">
        <v>1.4701759999999999</v>
      </c>
      <c r="AU280">
        <v>1.0241439999999999</v>
      </c>
      <c r="AV280">
        <v>1.4701759999999999</v>
      </c>
      <c r="AW280">
        <v>23.890039999999999</v>
      </c>
      <c r="AX280">
        <v>0.41999979999999998</v>
      </c>
      <c r="AY280">
        <v>3.4270287438462801</v>
      </c>
      <c r="AZ280" s="1" t="s">
        <v>101</v>
      </c>
      <c r="BA280" s="1" t="s">
        <v>101</v>
      </c>
      <c r="BB280" s="1" t="s">
        <v>101</v>
      </c>
      <c r="BC280" s="1" t="s">
        <v>101</v>
      </c>
      <c r="BD280" s="2">
        <v>103.551162215452</v>
      </c>
      <c r="BE280" s="2">
        <f t="shared" si="8"/>
        <v>1.7380511358299913</v>
      </c>
      <c r="BF280" s="2">
        <f t="shared" si="9"/>
        <v>1.7070995251984438</v>
      </c>
      <c r="BG280">
        <v>258404</v>
      </c>
      <c r="BH280" s="3">
        <v>19909</v>
      </c>
      <c r="BI280">
        <v>8.3477641040692685</v>
      </c>
      <c r="BJ280" s="3">
        <v>70825</v>
      </c>
      <c r="BK280">
        <v>4066</v>
      </c>
      <c r="BL280">
        <v>6.0905645680732183</v>
      </c>
      <c r="BM280" s="3">
        <v>895.3</v>
      </c>
      <c r="BN280">
        <v>139.79999999999995</v>
      </c>
      <c r="BO280">
        <v>13.505941454931888</v>
      </c>
      <c r="BP280">
        <v>5489457731.7038097</v>
      </c>
      <c r="BQ280">
        <v>372466291.76383018</v>
      </c>
      <c r="BR280">
        <v>7.2790094753060419</v>
      </c>
      <c r="BS280">
        <v>3.6165200000000002E-2</v>
      </c>
      <c r="BT280">
        <v>0.47156409999999999</v>
      </c>
      <c r="BU280">
        <v>0.93145654158503499</v>
      </c>
    </row>
    <row r="281" spans="1:73" x14ac:dyDescent="0.2">
      <c r="A281">
        <v>251</v>
      </c>
      <c r="B281" t="s">
        <v>81</v>
      </c>
      <c r="C281">
        <v>2019</v>
      </c>
      <c r="D281">
        <v>10</v>
      </c>
      <c r="E281">
        <v>0</v>
      </c>
      <c r="F281" t="s">
        <v>82</v>
      </c>
      <c r="G281">
        <v>0.67100000000000004</v>
      </c>
      <c r="H281">
        <v>0</v>
      </c>
      <c r="I281">
        <v>3.3010000000000002</v>
      </c>
      <c r="J281">
        <v>2.4369999999999998</v>
      </c>
      <c r="K281">
        <v>4.0380000000000003</v>
      </c>
      <c r="L281">
        <v>3.4689999999999999</v>
      </c>
      <c r="M281">
        <v>1.724</v>
      </c>
      <c r="N281">
        <v>1.262</v>
      </c>
      <c r="O281">
        <v>1.012</v>
      </c>
      <c r="P281">
        <v>6.7640000000000002</v>
      </c>
      <c r="Q281">
        <v>0</v>
      </c>
      <c r="S281">
        <v>0.98199999999999998</v>
      </c>
      <c r="T281">
        <v>4.37</v>
      </c>
      <c r="U281">
        <v>5.7</v>
      </c>
      <c r="V281">
        <v>48.2</v>
      </c>
      <c r="W281" t="s">
        <v>54</v>
      </c>
      <c r="X281" t="s">
        <v>55</v>
      </c>
      <c r="Y281" t="s">
        <v>56</v>
      </c>
      <c r="Z281">
        <v>0.23400000000000001</v>
      </c>
      <c r="AA281">
        <v>0.374</v>
      </c>
      <c r="AB281">
        <v>128</v>
      </c>
      <c r="AC281">
        <v>7.1</v>
      </c>
      <c r="AE281">
        <v>-87.466700000000003</v>
      </c>
      <c r="AF281">
        <v>15.1333</v>
      </c>
      <c r="AG281" t="s">
        <v>63</v>
      </c>
      <c r="AH281" t="s">
        <v>83</v>
      </c>
      <c r="AI281">
        <v>2499.4929999999999</v>
      </c>
      <c r="AJ281">
        <v>2.6530659999999999</v>
      </c>
      <c r="AK281">
        <v>24400000000</v>
      </c>
      <c r="AL281">
        <v>63.910429999999998</v>
      </c>
      <c r="AN281">
        <v>-2.666426</v>
      </c>
      <c r="AO281">
        <v>56.219760000000001</v>
      </c>
      <c r="AP281">
        <v>98.027590000000004</v>
      </c>
      <c r="AQ281">
        <v>3.8066810000000002</v>
      </c>
      <c r="AR281">
        <v>13.488989999999999</v>
      </c>
      <c r="AS281">
        <v>1.191929</v>
      </c>
      <c r="AT281">
        <v>1.474763</v>
      </c>
      <c r="AU281">
        <v>1.0241439999999999</v>
      </c>
      <c r="AV281">
        <v>1.474763</v>
      </c>
      <c r="AW281">
        <v>23.916219999999999</v>
      </c>
      <c r="AX281">
        <v>0.02</v>
      </c>
      <c r="AY281">
        <v>3.4270287438462801</v>
      </c>
      <c r="AZ281" s="1" t="s">
        <v>101</v>
      </c>
      <c r="BA281" s="1" t="s">
        <v>101</v>
      </c>
      <c r="BB281" s="1" t="s">
        <v>101</v>
      </c>
      <c r="BC281" s="1" t="s">
        <v>101</v>
      </c>
      <c r="BD281" s="2">
        <v>98.027589708345999</v>
      </c>
      <c r="BE281" s="2">
        <f t="shared" si="8"/>
        <v>5.523572507105996</v>
      </c>
      <c r="BF281" s="2">
        <f t="shared" si="9"/>
        <v>5.3341482499380035</v>
      </c>
      <c r="BG281">
        <v>296507</v>
      </c>
      <c r="BH281" s="3">
        <v>38103</v>
      </c>
      <c r="BI281">
        <v>14.745514775313076</v>
      </c>
      <c r="BJ281" s="3">
        <v>82236</v>
      </c>
      <c r="BK281">
        <v>11411</v>
      </c>
      <c r="BL281">
        <v>16.111542534415815</v>
      </c>
      <c r="BM281" s="3">
        <v>495.6</v>
      </c>
      <c r="BN281">
        <v>399.69999999999993</v>
      </c>
      <c r="BO281">
        <v>44.644253322908519</v>
      </c>
      <c r="BP281">
        <v>5202784502.7079401</v>
      </c>
      <c r="BQ281">
        <v>286673228.99586964</v>
      </c>
      <c r="BR281">
        <v>5.2222504117340645</v>
      </c>
      <c r="BS281">
        <v>2.6740099999999999E-2</v>
      </c>
      <c r="BT281">
        <v>0.11885759999999999</v>
      </c>
      <c r="BU281">
        <v>1.0503142170711599</v>
      </c>
    </row>
    <row r="282" spans="1:73" x14ac:dyDescent="0.2">
      <c r="A282">
        <v>252</v>
      </c>
      <c r="B282" t="s">
        <v>84</v>
      </c>
      <c r="C282">
        <v>1992</v>
      </c>
      <c r="D282">
        <v>11</v>
      </c>
      <c r="E282">
        <v>0</v>
      </c>
      <c r="F282" t="s">
        <v>85</v>
      </c>
      <c r="G282">
        <v>0.39287</v>
      </c>
      <c r="H282">
        <v>0</v>
      </c>
      <c r="O282">
        <v>-0.3</v>
      </c>
      <c r="Q282">
        <v>0</v>
      </c>
      <c r="R282">
        <v>10262.200000000001</v>
      </c>
      <c r="S282">
        <v>1.6830000000000001</v>
      </c>
      <c r="T282">
        <v>15.51</v>
      </c>
      <c r="U282">
        <v>3.24</v>
      </c>
      <c r="V282">
        <v>52.6</v>
      </c>
      <c r="W282" t="s">
        <v>64</v>
      </c>
      <c r="X282" t="s">
        <v>65</v>
      </c>
      <c r="Y282" t="s">
        <v>56</v>
      </c>
      <c r="Z282">
        <v>0.22</v>
      </c>
      <c r="AA282">
        <v>0.439</v>
      </c>
      <c r="AB282">
        <v>500</v>
      </c>
      <c r="AC282">
        <v>16.600000000000001</v>
      </c>
      <c r="AD282">
        <v>28.14705</v>
      </c>
      <c r="AE282">
        <v>-99.127600000000001</v>
      </c>
      <c r="AF282">
        <v>19.427</v>
      </c>
      <c r="AG282" t="s">
        <v>57</v>
      </c>
      <c r="AH282" t="s">
        <v>58</v>
      </c>
      <c r="AI282">
        <v>7760.9059999999999</v>
      </c>
      <c r="AJ282">
        <v>3.541102</v>
      </c>
      <c r="AK282">
        <v>676000000000</v>
      </c>
      <c r="AM282">
        <v>28.14705</v>
      </c>
      <c r="AN282">
        <v>-6.7304120000000003</v>
      </c>
      <c r="AO282">
        <v>74.251689999999996</v>
      </c>
      <c r="AP282">
        <v>35.5535</v>
      </c>
      <c r="AQ282">
        <v>1.209668</v>
      </c>
      <c r="AR282">
        <v>9.9428750000000008</v>
      </c>
      <c r="AT282">
        <v>2.7414849999999999</v>
      </c>
      <c r="AU282">
        <v>0.09</v>
      </c>
      <c r="AV282">
        <v>2.7414849999999999</v>
      </c>
      <c r="AW282">
        <v>27.239139999999999</v>
      </c>
      <c r="AY282">
        <v>2.3852628235667801</v>
      </c>
      <c r="AZ282" s="1">
        <v>8.2499995827674893E-2</v>
      </c>
      <c r="BA282" s="1">
        <v>0.13750000298023199</v>
      </c>
      <c r="BB282" s="1">
        <v>0.21999999880790699</v>
      </c>
      <c r="BC282" s="1">
        <v>2.2143489999999999</v>
      </c>
      <c r="BD282" s="2">
        <v>28.710175990473001</v>
      </c>
      <c r="BE282" s="2"/>
      <c r="BF282" s="2"/>
      <c r="BH282" s="3"/>
      <c r="BM282" s="3">
        <v>4392.8</v>
      </c>
      <c r="BN282">
        <v>368.69999999999982</v>
      </c>
      <c r="BO282">
        <v>7.7433581854457598</v>
      </c>
      <c r="BP282">
        <v>153110178216.27802</v>
      </c>
      <c r="BQ282">
        <v>14985182840.119019</v>
      </c>
      <c r="BR282">
        <v>10.84900151439609</v>
      </c>
      <c r="BU282">
        <v>-1.26932197948273</v>
      </c>
    </row>
    <row r="283" spans="1:73" x14ac:dyDescent="0.2">
      <c r="A283">
        <v>253</v>
      </c>
      <c r="B283" t="s">
        <v>84</v>
      </c>
      <c r="C283">
        <v>1993</v>
      </c>
      <c r="D283">
        <v>11</v>
      </c>
      <c r="E283">
        <v>0</v>
      </c>
      <c r="F283" t="s">
        <v>85</v>
      </c>
      <c r="G283">
        <v>0.63824999999999998</v>
      </c>
      <c r="H283">
        <v>0</v>
      </c>
      <c r="O283">
        <v>-0.3</v>
      </c>
      <c r="Q283">
        <v>0</v>
      </c>
      <c r="R283">
        <v>10357.799999999999</v>
      </c>
      <c r="S283">
        <v>0.158</v>
      </c>
      <c r="T283">
        <v>9.75</v>
      </c>
      <c r="U283">
        <v>3.37</v>
      </c>
      <c r="W283" t="s">
        <v>64</v>
      </c>
      <c r="X283" t="s">
        <v>65</v>
      </c>
      <c r="Y283" t="s">
        <v>56</v>
      </c>
      <c r="Z283">
        <v>0.224</v>
      </c>
      <c r="AA283">
        <v>0.44800000000000001</v>
      </c>
      <c r="AB283">
        <v>500</v>
      </c>
      <c r="AC283">
        <v>16.600000000000001</v>
      </c>
      <c r="AD283">
        <v>20.375129999999999</v>
      </c>
      <c r="AE283">
        <v>-99.127600000000001</v>
      </c>
      <c r="AF283">
        <v>19.427</v>
      </c>
      <c r="AG283" t="s">
        <v>57</v>
      </c>
      <c r="AH283" t="s">
        <v>58</v>
      </c>
      <c r="AI283">
        <v>7773.1620000000003</v>
      </c>
      <c r="AJ283">
        <v>1.9411560000000001</v>
      </c>
      <c r="AK283">
        <v>689000000000</v>
      </c>
      <c r="AM283">
        <v>20.375129999999999</v>
      </c>
      <c r="AN283">
        <v>-4.6731199999999999</v>
      </c>
      <c r="AO283">
        <v>72.95993</v>
      </c>
      <c r="AP283">
        <v>27.827909999999999</v>
      </c>
      <c r="AQ283">
        <v>0.87650969999999995</v>
      </c>
      <c r="AR283">
        <v>9.1147829999999992</v>
      </c>
      <c r="AS283">
        <v>1.599947</v>
      </c>
      <c r="AT283">
        <v>2.2772670000000002</v>
      </c>
      <c r="AU283">
        <v>0.09</v>
      </c>
      <c r="AV283">
        <v>2.2772670000000002</v>
      </c>
      <c r="AW283">
        <v>27.25836</v>
      </c>
      <c r="AX283">
        <v>5.76</v>
      </c>
      <c r="AY283">
        <v>2.3852628235667801</v>
      </c>
      <c r="AZ283" s="1">
        <v>8.2499995827674893E-2</v>
      </c>
      <c r="BA283" s="1">
        <v>0.13750000298023199</v>
      </c>
      <c r="BB283" s="1">
        <v>0.21999999880790699</v>
      </c>
      <c r="BC283" s="1">
        <v>2.2143489999999999</v>
      </c>
      <c r="BD283" s="2">
        <v>27.827911182998001</v>
      </c>
      <c r="BE283" s="2">
        <f t="shared" si="8"/>
        <v>0.88226480747499991</v>
      </c>
      <c r="BF283" s="2">
        <f t="shared" si="9"/>
        <v>3.0730038289133614</v>
      </c>
      <c r="BH283" s="3"/>
      <c r="BM283" s="3">
        <v>4388.8</v>
      </c>
      <c r="BN283">
        <v>4</v>
      </c>
      <c r="BO283">
        <v>9.1058095064651248E-2</v>
      </c>
      <c r="BP283">
        <v>151206785780.18301</v>
      </c>
      <c r="BQ283">
        <v>1903392436.0950012</v>
      </c>
      <c r="BR283">
        <v>1.2431521263115091</v>
      </c>
      <c r="BS283">
        <v>0.82809160000000004</v>
      </c>
      <c r="BT283">
        <v>0.57409949999999998</v>
      </c>
      <c r="BU283">
        <v>-1.8434215373045799</v>
      </c>
    </row>
    <row r="284" spans="1:73" x14ac:dyDescent="0.2">
      <c r="A284">
        <v>254</v>
      </c>
      <c r="B284" t="s">
        <v>84</v>
      </c>
      <c r="C284">
        <v>1994</v>
      </c>
      <c r="D284">
        <v>11</v>
      </c>
      <c r="E284">
        <v>1</v>
      </c>
      <c r="F284" t="s">
        <v>85</v>
      </c>
      <c r="G284">
        <v>0.63824999999999998</v>
      </c>
      <c r="H284">
        <v>0</v>
      </c>
      <c r="I284">
        <v>0.64300000000000002</v>
      </c>
      <c r="J284">
        <v>0.57199999999999995</v>
      </c>
      <c r="K284">
        <v>1.782</v>
      </c>
      <c r="L284">
        <v>1.68</v>
      </c>
      <c r="M284">
        <v>0.56999999999999995</v>
      </c>
      <c r="N284">
        <v>0.52500000000000002</v>
      </c>
      <c r="O284">
        <v>-0.107</v>
      </c>
      <c r="Q284">
        <v>1</v>
      </c>
      <c r="R284">
        <v>10721</v>
      </c>
      <c r="S284">
        <v>3.1589999999999998</v>
      </c>
      <c r="T284">
        <v>6.97</v>
      </c>
      <c r="U284">
        <v>4.4400000000000004</v>
      </c>
      <c r="V284">
        <v>52.8</v>
      </c>
      <c r="W284" t="s">
        <v>64</v>
      </c>
      <c r="X284" t="s">
        <v>86</v>
      </c>
      <c r="Y284" t="s">
        <v>56</v>
      </c>
      <c r="Z284">
        <v>0.26300000000000001</v>
      </c>
      <c r="AA284">
        <v>0.46800000000000003</v>
      </c>
      <c r="AB284">
        <v>500</v>
      </c>
      <c r="AC284">
        <v>16.600000000000001</v>
      </c>
      <c r="AD284">
        <v>28.15643</v>
      </c>
      <c r="AE284">
        <v>-99.127600000000001</v>
      </c>
      <c r="AF284">
        <v>19.427</v>
      </c>
      <c r="AG284" t="s">
        <v>57</v>
      </c>
      <c r="AH284" t="s">
        <v>58</v>
      </c>
      <c r="AI284">
        <v>8018.7209999999995</v>
      </c>
      <c r="AJ284">
        <v>4.9410809999999996</v>
      </c>
      <c r="AK284">
        <v>723000000000</v>
      </c>
      <c r="AM284">
        <v>28.15643</v>
      </c>
      <c r="AN284">
        <v>-5.6198119999999996</v>
      </c>
      <c r="AO284">
        <v>71.783209999999997</v>
      </c>
      <c r="AP284">
        <v>30.709969999999998</v>
      </c>
      <c r="AQ284">
        <v>2.0788600000000002</v>
      </c>
      <c r="AR284">
        <v>9.466825</v>
      </c>
      <c r="AS284">
        <v>2.9999250000000002</v>
      </c>
      <c r="AT284">
        <v>1.9416150000000001</v>
      </c>
      <c r="AU284">
        <v>1.1449000000000001E-2</v>
      </c>
      <c r="AV284">
        <v>1.9416150000000001</v>
      </c>
      <c r="AW284">
        <v>27.30659</v>
      </c>
      <c r="AX284">
        <v>2.78</v>
      </c>
      <c r="AY284">
        <v>2.5385104017786202</v>
      </c>
      <c r="AZ284" s="1">
        <v>1.7000000923872001E-2</v>
      </c>
      <c r="BA284" s="1">
        <v>0.177500009536743</v>
      </c>
      <c r="BB284" s="1">
        <v>0.19450001418590501</v>
      </c>
      <c r="BC284" s="1">
        <v>2.2872406999999999</v>
      </c>
      <c r="BD284" s="2">
        <v>30.709971850247999</v>
      </c>
      <c r="BE284" s="2">
        <f t="shared" si="8"/>
        <v>2.8820606672499984</v>
      </c>
      <c r="BF284" s="2">
        <f t="shared" si="9"/>
        <v>10.356726555210688</v>
      </c>
      <c r="BH284" s="3"/>
      <c r="BM284" s="3">
        <v>10972.5</v>
      </c>
      <c r="BN284">
        <v>6583.7</v>
      </c>
      <c r="BO284">
        <v>150.01139263580021</v>
      </c>
      <c r="BP284">
        <v>173394699866.366</v>
      </c>
      <c r="BQ284">
        <v>22187914086.182983</v>
      </c>
      <c r="BR284">
        <v>14.673887796569316</v>
      </c>
      <c r="BS284">
        <v>0.35204220000000003</v>
      </c>
      <c r="BT284">
        <v>0.73656379999999999</v>
      </c>
      <c r="BU284">
        <v>-2.5799853654473801</v>
      </c>
    </row>
    <row r="285" spans="1:73" x14ac:dyDescent="0.2">
      <c r="A285">
        <v>255</v>
      </c>
      <c r="B285" t="s">
        <v>84</v>
      </c>
      <c r="C285">
        <v>1995</v>
      </c>
      <c r="D285">
        <v>11</v>
      </c>
      <c r="E285">
        <v>0</v>
      </c>
      <c r="F285" t="s">
        <v>85</v>
      </c>
      <c r="G285">
        <v>0.63824999999999998</v>
      </c>
      <c r="H285">
        <v>1</v>
      </c>
      <c r="I285">
        <v>0.64300000000000002</v>
      </c>
      <c r="J285">
        <v>0.57199999999999995</v>
      </c>
      <c r="K285">
        <v>1.782</v>
      </c>
      <c r="L285">
        <v>1.68</v>
      </c>
      <c r="M285">
        <v>0.56999999999999995</v>
      </c>
      <c r="N285">
        <v>0.52500000000000002</v>
      </c>
      <c r="O285">
        <v>-0.107</v>
      </c>
      <c r="P285">
        <v>4.4770000000000003</v>
      </c>
      <c r="Q285">
        <v>0</v>
      </c>
      <c r="R285">
        <v>9945</v>
      </c>
      <c r="S285">
        <v>-7.8319999999999999</v>
      </c>
      <c r="T285">
        <v>35</v>
      </c>
      <c r="U285">
        <v>7.1</v>
      </c>
      <c r="W285" t="s">
        <v>64</v>
      </c>
      <c r="X285" t="s">
        <v>86</v>
      </c>
      <c r="Y285" t="s">
        <v>56</v>
      </c>
      <c r="Z285">
        <v>0.28399999999999997</v>
      </c>
      <c r="AA285">
        <v>0.48699999999999999</v>
      </c>
      <c r="AB285">
        <v>500</v>
      </c>
      <c r="AC285">
        <v>16.600000000000001</v>
      </c>
      <c r="AD285">
        <v>32.458379999999998</v>
      </c>
      <c r="AE285">
        <v>-99.127600000000001</v>
      </c>
      <c r="AF285">
        <v>19.427</v>
      </c>
      <c r="AG285" t="s">
        <v>57</v>
      </c>
      <c r="AH285" t="s">
        <v>58</v>
      </c>
      <c r="AI285">
        <v>7390.7150000000001</v>
      </c>
      <c r="AJ285">
        <v>-6.2912309999999998</v>
      </c>
      <c r="AK285">
        <v>678000000000</v>
      </c>
      <c r="AM285">
        <v>32.458379999999998</v>
      </c>
      <c r="AN285">
        <v>-0.43781009999999998</v>
      </c>
      <c r="AO285">
        <v>70.728579999999994</v>
      </c>
      <c r="AP285">
        <v>46.321019999999997</v>
      </c>
      <c r="AQ285">
        <v>2.645648</v>
      </c>
      <c r="AR285">
        <v>8.5511599999999994</v>
      </c>
      <c r="AS285">
        <v>11.23231</v>
      </c>
      <c r="AT285">
        <v>3.555348</v>
      </c>
      <c r="AU285">
        <v>1.1449000000000001E-2</v>
      </c>
      <c r="AV285">
        <v>3.555348</v>
      </c>
      <c r="AW285">
        <v>27.241610000000001</v>
      </c>
      <c r="AX285">
        <v>28.03</v>
      </c>
      <c r="AY285">
        <v>2.5385104017786202</v>
      </c>
      <c r="AZ285" s="1">
        <v>1.7000000923872001E-2</v>
      </c>
      <c r="BA285" s="1">
        <v>0.177500009536743</v>
      </c>
      <c r="BB285" s="1">
        <v>0.19450001418590501</v>
      </c>
      <c r="BC285" s="1">
        <v>2.2872406999999999</v>
      </c>
      <c r="BD285" s="2">
        <v>46.321019294566</v>
      </c>
      <c r="BE285" s="2">
        <f t="shared" si="8"/>
        <v>15.611047444318</v>
      </c>
      <c r="BF285" s="2">
        <f t="shared" si="9"/>
        <v>50.833805776321263</v>
      </c>
      <c r="BH285" s="3"/>
      <c r="BM285" s="3">
        <v>9526.2999999999993</v>
      </c>
      <c r="BN285">
        <v>1446.2000000000007</v>
      </c>
      <c r="BO285">
        <v>13.180223285486449</v>
      </c>
      <c r="BP285">
        <v>111238829689.211</v>
      </c>
      <c r="BQ285">
        <v>62155870177.154999</v>
      </c>
      <c r="BR285">
        <v>35.84646487179716</v>
      </c>
      <c r="BS285">
        <v>0.91566559999999997</v>
      </c>
      <c r="BT285">
        <v>3.730057</v>
      </c>
      <c r="BU285">
        <v>1.1500718162803001</v>
      </c>
    </row>
    <row r="286" spans="1:73" x14ac:dyDescent="0.2">
      <c r="A286">
        <v>256</v>
      </c>
      <c r="B286" t="s">
        <v>84</v>
      </c>
      <c r="C286">
        <v>1996</v>
      </c>
      <c r="D286">
        <v>11</v>
      </c>
      <c r="E286">
        <v>0</v>
      </c>
      <c r="F286" t="s">
        <v>85</v>
      </c>
      <c r="G286">
        <v>0.63824999999999998</v>
      </c>
      <c r="H286">
        <v>0</v>
      </c>
      <c r="I286">
        <v>0.64300000000000002</v>
      </c>
      <c r="J286">
        <v>0.57199999999999995</v>
      </c>
      <c r="K286">
        <v>1.782</v>
      </c>
      <c r="L286">
        <v>1.68</v>
      </c>
      <c r="M286">
        <v>0.56999999999999995</v>
      </c>
      <c r="N286">
        <v>0.52500000000000002</v>
      </c>
      <c r="O286">
        <v>-0.28899999999999998</v>
      </c>
      <c r="P286">
        <v>5.4489999999999998</v>
      </c>
      <c r="Q286">
        <v>0</v>
      </c>
      <c r="R286">
        <v>10386.5</v>
      </c>
      <c r="S286">
        <v>5.0720000000000001</v>
      </c>
      <c r="T286">
        <v>34.380000000000003</v>
      </c>
      <c r="U286">
        <v>5.47</v>
      </c>
      <c r="V286">
        <v>53.6</v>
      </c>
      <c r="W286" t="s">
        <v>64</v>
      </c>
      <c r="X286" t="s">
        <v>86</v>
      </c>
      <c r="Y286" t="s">
        <v>56</v>
      </c>
      <c r="Z286">
        <v>0.29399999999999998</v>
      </c>
      <c r="AA286">
        <v>0.50800000000000001</v>
      </c>
      <c r="AB286">
        <v>500</v>
      </c>
      <c r="AC286">
        <v>16.600000000000001</v>
      </c>
      <c r="AD286">
        <v>25.16602</v>
      </c>
      <c r="AE286">
        <v>-99.127600000000001</v>
      </c>
      <c r="AF286">
        <v>19.427</v>
      </c>
      <c r="AG286" t="s">
        <v>57</v>
      </c>
      <c r="AH286" t="s">
        <v>58</v>
      </c>
      <c r="AI286">
        <v>7765.6049999999996</v>
      </c>
      <c r="AJ286">
        <v>6.7732590000000004</v>
      </c>
      <c r="AK286">
        <v>723000000000</v>
      </c>
      <c r="AM286">
        <v>25.16602</v>
      </c>
      <c r="AN286">
        <v>-0.61019369999999995</v>
      </c>
      <c r="AO286">
        <v>69.3459</v>
      </c>
      <c r="AP286">
        <v>50.419199999999996</v>
      </c>
      <c r="AQ286">
        <v>2.2350720000000002</v>
      </c>
      <c r="AR286">
        <v>8.1197140000000001</v>
      </c>
      <c r="AS286">
        <v>13.064489999999999</v>
      </c>
      <c r="AT286">
        <v>3.5374750000000001</v>
      </c>
      <c r="AU286">
        <v>8.3520999999999998E-2</v>
      </c>
      <c r="AV286">
        <v>3.5374750000000001</v>
      </c>
      <c r="AW286">
        <v>27.30715</v>
      </c>
      <c r="AX286">
        <v>0.61999890000000002</v>
      </c>
      <c r="AY286">
        <v>2.3939971414959502</v>
      </c>
      <c r="AZ286" s="1">
        <v>1.7000000923872001E-2</v>
      </c>
      <c r="BA286" s="1">
        <v>0.177500009536743</v>
      </c>
      <c r="BB286" s="1">
        <v>0.19450001418590501</v>
      </c>
      <c r="BC286" s="1">
        <v>2.2872406999999999</v>
      </c>
      <c r="BD286" s="2">
        <v>50.419200080038003</v>
      </c>
      <c r="BE286" s="2">
        <f t="shared" si="8"/>
        <v>4.0981807854720032</v>
      </c>
      <c r="BF286" s="2">
        <f t="shared" si="9"/>
        <v>8.8473458656225379</v>
      </c>
      <c r="BH286" s="3"/>
      <c r="BM286" s="3">
        <v>9185.5</v>
      </c>
      <c r="BN286">
        <v>340.79999999999927</v>
      </c>
      <c r="BO286">
        <v>3.5774644930350639</v>
      </c>
      <c r="BP286">
        <v>132822458787.293</v>
      </c>
      <c r="BQ286">
        <v>21583629098.082001</v>
      </c>
      <c r="BR286">
        <v>19.402963118529993</v>
      </c>
      <c r="BS286">
        <v>0.4314461</v>
      </c>
      <c r="BT286">
        <v>2.640609</v>
      </c>
      <c r="BU286">
        <v>3.79068061474422</v>
      </c>
    </row>
    <row r="287" spans="1:73" x14ac:dyDescent="0.2">
      <c r="A287">
        <v>257</v>
      </c>
      <c r="B287" t="s">
        <v>84</v>
      </c>
      <c r="C287">
        <v>1997</v>
      </c>
      <c r="D287">
        <v>11</v>
      </c>
      <c r="E287">
        <v>1</v>
      </c>
      <c r="F287" t="s">
        <v>85</v>
      </c>
      <c r="G287">
        <v>0.63824999999999998</v>
      </c>
      <c r="H287">
        <v>0</v>
      </c>
      <c r="I287">
        <v>1.47</v>
      </c>
      <c r="J287">
        <v>1.4339999999999999</v>
      </c>
      <c r="K287">
        <v>2.694</v>
      </c>
      <c r="L287">
        <v>2.661</v>
      </c>
      <c r="M287">
        <v>1.0209999999999999</v>
      </c>
      <c r="N287">
        <v>1.01</v>
      </c>
      <c r="O287">
        <v>-0.77200000000000002</v>
      </c>
      <c r="P287">
        <v>3.9649999999999999</v>
      </c>
      <c r="Q287">
        <v>1</v>
      </c>
      <c r="R287">
        <v>11030.3</v>
      </c>
      <c r="S287">
        <v>5.194</v>
      </c>
      <c r="T287">
        <v>20.63</v>
      </c>
      <c r="U287">
        <v>4.24</v>
      </c>
      <c r="W287" t="s">
        <v>64</v>
      </c>
      <c r="X287" t="s">
        <v>65</v>
      </c>
      <c r="Y287" t="s">
        <v>56</v>
      </c>
      <c r="Z287">
        <v>0.33800000000000002</v>
      </c>
      <c r="AA287">
        <v>0.54400000000000004</v>
      </c>
      <c r="AB287">
        <v>500</v>
      </c>
      <c r="AC287">
        <v>16.600000000000001</v>
      </c>
      <c r="AD287">
        <v>20.649139999999999</v>
      </c>
      <c r="AE287">
        <v>-99.127600000000001</v>
      </c>
      <c r="AF287">
        <v>19.427</v>
      </c>
      <c r="AG287" t="s">
        <v>57</v>
      </c>
      <c r="AH287" t="s">
        <v>58</v>
      </c>
      <c r="AI287">
        <v>8168.9160000000002</v>
      </c>
      <c r="AJ287">
        <v>6.8468520000000002</v>
      </c>
      <c r="AK287">
        <v>773000000000</v>
      </c>
      <c r="AL287">
        <v>21.247890000000002</v>
      </c>
      <c r="AM287">
        <v>20.649139999999999</v>
      </c>
      <c r="AN287">
        <v>-1.5317210000000001</v>
      </c>
      <c r="AO287">
        <v>68.096339999999998</v>
      </c>
      <c r="AP287">
        <v>48.777360000000002</v>
      </c>
      <c r="AQ287">
        <v>2.5638399999999999</v>
      </c>
      <c r="AR287">
        <v>8.2616019999999999</v>
      </c>
      <c r="AS287">
        <v>7.3593599999999995E-2</v>
      </c>
      <c r="AT287">
        <v>3.0267460000000002</v>
      </c>
      <c r="AU287">
        <v>0.59598399999999996</v>
      </c>
      <c r="AV287">
        <v>3.0267460000000002</v>
      </c>
      <c r="AW287">
        <v>27.373370000000001</v>
      </c>
      <c r="AX287">
        <v>13.75</v>
      </c>
      <c r="AY287">
        <v>2.0104811815150101</v>
      </c>
      <c r="AZ287" s="1">
        <v>1.5999998897314099E-2</v>
      </c>
      <c r="BA287" s="1">
        <v>0.120500005781651</v>
      </c>
      <c r="BB287" s="1">
        <v>0.13650000095367401</v>
      </c>
      <c r="BC287" s="1">
        <v>2.8571430000000002</v>
      </c>
      <c r="BD287" s="2">
        <v>48.777361677294003</v>
      </c>
      <c r="BE287" s="2">
        <f t="shared" si="8"/>
        <v>1.6418384027439998</v>
      </c>
      <c r="BF287" s="2">
        <f t="shared" si="9"/>
        <v>3.256375349346404</v>
      </c>
      <c r="BH287" s="3"/>
      <c r="BM287" s="3">
        <v>12829.5</v>
      </c>
      <c r="BN287">
        <v>3644</v>
      </c>
      <c r="BO287">
        <v>39.671220946056287</v>
      </c>
      <c r="BP287">
        <v>152974706312.423</v>
      </c>
      <c r="BQ287">
        <v>20152247525.130005</v>
      </c>
      <c r="BR287">
        <v>15.172319281788473</v>
      </c>
      <c r="BS287">
        <v>0.1418886</v>
      </c>
      <c r="BT287">
        <v>0.54883269999999995</v>
      </c>
      <c r="BU287">
        <v>4.3395132580553302</v>
      </c>
    </row>
    <row r="288" spans="1:73" x14ac:dyDescent="0.2">
      <c r="A288">
        <v>258</v>
      </c>
      <c r="B288" t="s">
        <v>84</v>
      </c>
      <c r="C288">
        <v>1998</v>
      </c>
      <c r="D288">
        <v>11</v>
      </c>
      <c r="E288">
        <v>0</v>
      </c>
      <c r="F288" t="s">
        <v>85</v>
      </c>
      <c r="G288">
        <v>0.63824999999999998</v>
      </c>
      <c r="H288">
        <v>0</v>
      </c>
      <c r="I288">
        <v>1.47</v>
      </c>
      <c r="J288">
        <v>1.4339999999999999</v>
      </c>
      <c r="K288">
        <v>2.694</v>
      </c>
      <c r="L288">
        <v>2.661</v>
      </c>
      <c r="M288">
        <v>1.0209999999999999</v>
      </c>
      <c r="N288">
        <v>1.01</v>
      </c>
      <c r="O288">
        <v>-0.77200000000000002</v>
      </c>
      <c r="P288">
        <v>5.218</v>
      </c>
      <c r="Q288">
        <v>0</v>
      </c>
      <c r="R288">
        <v>11510.9</v>
      </c>
      <c r="S288">
        <v>3.5819999999999999</v>
      </c>
      <c r="T288">
        <v>15.93</v>
      </c>
      <c r="U288">
        <v>3.73</v>
      </c>
      <c r="V288">
        <v>51.7</v>
      </c>
      <c r="W288" t="s">
        <v>64</v>
      </c>
      <c r="X288" t="s">
        <v>65</v>
      </c>
      <c r="Y288" t="s">
        <v>56</v>
      </c>
      <c r="Z288">
        <v>0.372</v>
      </c>
      <c r="AA288">
        <v>0.59399999999999997</v>
      </c>
      <c r="AB288">
        <v>500</v>
      </c>
      <c r="AC288">
        <v>16.600000000000001</v>
      </c>
      <c r="AD288">
        <v>22.24363</v>
      </c>
      <c r="AE288">
        <v>-99.127600000000001</v>
      </c>
      <c r="AF288">
        <v>19.427</v>
      </c>
      <c r="AG288" t="s">
        <v>57</v>
      </c>
      <c r="AH288" t="s">
        <v>58</v>
      </c>
      <c r="AI288">
        <v>8461.4930000000004</v>
      </c>
      <c r="AJ288">
        <v>5.1639249999999999</v>
      </c>
      <c r="AK288">
        <v>813000000000</v>
      </c>
      <c r="AL288">
        <v>18.986270000000001</v>
      </c>
      <c r="AM288">
        <v>22.24363</v>
      </c>
      <c r="AN288">
        <v>-3.0375299999999998</v>
      </c>
      <c r="AO288">
        <v>66.959500000000006</v>
      </c>
      <c r="AP288">
        <v>50.996119999999998</v>
      </c>
      <c r="AQ288">
        <v>2.4229270000000001</v>
      </c>
      <c r="AR288">
        <v>8.5431290000000004</v>
      </c>
      <c r="AS288">
        <v>1.6829270000000001</v>
      </c>
      <c r="AT288">
        <v>2.7682039999999999</v>
      </c>
      <c r="AU288">
        <v>0.59598399999999996</v>
      </c>
      <c r="AV288">
        <v>2.7682039999999999</v>
      </c>
      <c r="AW288">
        <v>27.423729999999999</v>
      </c>
      <c r="AX288">
        <v>4.699999</v>
      </c>
      <c r="AY288">
        <v>2.0104811815150101</v>
      </c>
      <c r="AZ288" s="1">
        <v>1.5999998897314099E-2</v>
      </c>
      <c r="BA288" s="1">
        <v>0.120500005781651</v>
      </c>
      <c r="BB288" s="1">
        <v>0.13650000095367401</v>
      </c>
      <c r="BC288" s="1">
        <v>2.8571430000000002</v>
      </c>
      <c r="BD288" s="2">
        <v>50.996121626777999</v>
      </c>
      <c r="BE288" s="2">
        <f t="shared" si="8"/>
        <v>2.2187599494839958</v>
      </c>
      <c r="BF288" s="2">
        <f t="shared" si="9"/>
        <v>4.5487494058474969</v>
      </c>
      <c r="BH288" s="3"/>
      <c r="BM288" s="3">
        <v>12756.7</v>
      </c>
      <c r="BN288">
        <v>72.799999999999272</v>
      </c>
      <c r="BO288">
        <v>0.56744222300167013</v>
      </c>
      <c r="BP288">
        <v>168989124507.32599</v>
      </c>
      <c r="BQ288">
        <v>16014418194.902985</v>
      </c>
      <c r="BR288">
        <v>10.468670658661994</v>
      </c>
      <c r="BS288">
        <v>0.28152660000000002</v>
      </c>
      <c r="BT288">
        <v>2.2267999999999999</v>
      </c>
      <c r="BU288">
        <v>2.1127132944623002</v>
      </c>
    </row>
    <row r="289" spans="1:73" x14ac:dyDescent="0.2">
      <c r="A289">
        <v>259</v>
      </c>
      <c r="B289" t="s">
        <v>84</v>
      </c>
      <c r="C289">
        <v>1999</v>
      </c>
      <c r="D289">
        <v>11</v>
      </c>
      <c r="E289">
        <v>0</v>
      </c>
      <c r="F289" t="s">
        <v>85</v>
      </c>
      <c r="G289">
        <v>0.63824999999999998</v>
      </c>
      <c r="H289">
        <v>1</v>
      </c>
      <c r="I289">
        <v>1.47</v>
      </c>
      <c r="J289">
        <v>1.4339999999999999</v>
      </c>
      <c r="K289">
        <v>2.694</v>
      </c>
      <c r="L289">
        <v>2.661</v>
      </c>
      <c r="M289">
        <v>1.0209999999999999</v>
      </c>
      <c r="N289">
        <v>1.01</v>
      </c>
      <c r="O289">
        <v>-0.77200000000000002</v>
      </c>
      <c r="P289">
        <v>5.218</v>
      </c>
      <c r="Q289">
        <v>0</v>
      </c>
      <c r="R289">
        <v>11894.2</v>
      </c>
      <c r="S289">
        <v>1.248</v>
      </c>
      <c r="T289">
        <v>16.59</v>
      </c>
      <c r="U289">
        <v>2.6</v>
      </c>
      <c r="W289" t="s">
        <v>64</v>
      </c>
      <c r="X289" t="s">
        <v>65</v>
      </c>
      <c r="Y289" t="s">
        <v>56</v>
      </c>
      <c r="Z289">
        <v>0.373</v>
      </c>
      <c r="AA289">
        <v>0.59699999999999998</v>
      </c>
      <c r="AB289">
        <v>500</v>
      </c>
      <c r="AC289">
        <v>16.600000000000001</v>
      </c>
      <c r="AD289">
        <v>20.485060000000001</v>
      </c>
      <c r="AE289">
        <v>-99.127600000000001</v>
      </c>
      <c r="AF289">
        <v>19.427</v>
      </c>
      <c r="AG289" t="s">
        <v>57</v>
      </c>
      <c r="AH289" t="s">
        <v>58</v>
      </c>
      <c r="AI289">
        <v>8567.0779999999995</v>
      </c>
      <c r="AJ289">
        <v>2.7535539999999998</v>
      </c>
      <c r="AK289">
        <v>835000000000</v>
      </c>
      <c r="AL289">
        <v>16.341470000000001</v>
      </c>
      <c r="AM289">
        <v>20.485060000000001</v>
      </c>
      <c r="AN289">
        <v>-2.3323839999999998</v>
      </c>
      <c r="AO289">
        <v>65.894189999999995</v>
      </c>
      <c r="AP289">
        <v>50.61797</v>
      </c>
      <c r="AQ289">
        <v>2.3226059999999999</v>
      </c>
      <c r="AR289">
        <v>9.1785130000000006</v>
      </c>
      <c r="AS289">
        <v>2.410371</v>
      </c>
      <c r="AT289">
        <v>2.8088000000000002</v>
      </c>
      <c r="AU289">
        <v>0.59598399999999996</v>
      </c>
      <c r="AV289">
        <v>2.8088000000000002</v>
      </c>
      <c r="AW289">
        <v>27.450890000000001</v>
      </c>
      <c r="AX289">
        <v>0.65999980000000003</v>
      </c>
      <c r="AY289">
        <v>2.0104811815150101</v>
      </c>
      <c r="AZ289" s="1">
        <v>1.5999998897314099E-2</v>
      </c>
      <c r="BA289" s="1">
        <v>0.120500005781651</v>
      </c>
      <c r="BB289" s="1">
        <v>0.13650000095367401</v>
      </c>
      <c r="BC289" s="1">
        <v>2.8571430000000002</v>
      </c>
      <c r="BD289" s="2">
        <v>50.617971444279</v>
      </c>
      <c r="BE289" s="2">
        <f t="shared" si="8"/>
        <v>0.37815018249899879</v>
      </c>
      <c r="BF289" s="2">
        <f t="shared" si="9"/>
        <v>0.74152733666011306</v>
      </c>
      <c r="BH289" s="3"/>
      <c r="BM289" s="3">
        <v>13935.7</v>
      </c>
      <c r="BN289">
        <v>1179</v>
      </c>
      <c r="BO289">
        <v>9.242202136916287</v>
      </c>
      <c r="BP289">
        <v>178385980864.27301</v>
      </c>
      <c r="BQ289">
        <v>9396856356.9470215</v>
      </c>
      <c r="BR289">
        <v>5.560627871375031</v>
      </c>
      <c r="BS289">
        <v>0.63538360000000005</v>
      </c>
      <c r="BT289">
        <v>0.15363569999999999</v>
      </c>
      <c r="BU289">
        <v>1.9590775951024599</v>
      </c>
    </row>
    <row r="290" spans="1:73" x14ac:dyDescent="0.2">
      <c r="A290">
        <v>260</v>
      </c>
      <c r="B290" t="s">
        <v>84</v>
      </c>
      <c r="C290">
        <v>2000</v>
      </c>
      <c r="D290">
        <v>11</v>
      </c>
      <c r="E290">
        <v>1</v>
      </c>
      <c r="F290" t="s">
        <v>85</v>
      </c>
      <c r="G290">
        <v>0.63824999999999998</v>
      </c>
      <c r="H290">
        <v>0</v>
      </c>
      <c r="I290">
        <v>1.0149999999999999</v>
      </c>
      <c r="J290">
        <v>0.73199999999999998</v>
      </c>
      <c r="K290">
        <v>2.2389999999999999</v>
      </c>
      <c r="L290">
        <v>1.901</v>
      </c>
      <c r="M290">
        <v>0.79400000000000004</v>
      </c>
      <c r="N290">
        <v>0.68799999999999994</v>
      </c>
      <c r="O290">
        <v>-0.98199999999999998</v>
      </c>
      <c r="P290">
        <v>4.306</v>
      </c>
      <c r="Q290">
        <v>1</v>
      </c>
      <c r="R290">
        <v>12613.4</v>
      </c>
      <c r="S290">
        <v>3.4409999999999998</v>
      </c>
      <c r="T290">
        <v>9.49</v>
      </c>
      <c r="U290">
        <v>2.65</v>
      </c>
      <c r="V290">
        <v>52.6</v>
      </c>
      <c r="W290" t="s">
        <v>64</v>
      </c>
      <c r="X290" t="s">
        <v>65</v>
      </c>
      <c r="Y290" t="s">
        <v>56</v>
      </c>
      <c r="Z290">
        <v>0.42899999999999999</v>
      </c>
      <c r="AA290">
        <v>0.63400000000000001</v>
      </c>
      <c r="AB290">
        <v>500</v>
      </c>
      <c r="AC290">
        <v>16.600000000000001</v>
      </c>
      <c r="AD290">
        <v>19.069489999999998</v>
      </c>
      <c r="AE290">
        <v>-99.127600000000001</v>
      </c>
      <c r="AF290">
        <v>19.427</v>
      </c>
      <c r="AG290" t="s">
        <v>57</v>
      </c>
      <c r="AH290" t="s">
        <v>58</v>
      </c>
      <c r="AI290">
        <v>8861.8690000000006</v>
      </c>
      <c r="AJ290">
        <v>4.9424539999999997</v>
      </c>
      <c r="AK290">
        <v>876000000000</v>
      </c>
      <c r="AL290">
        <v>15.039960000000001</v>
      </c>
      <c r="AM290">
        <v>19.069489999999998</v>
      </c>
      <c r="AN290">
        <v>-2.6489959999999999</v>
      </c>
      <c r="AO290">
        <v>64.8733</v>
      </c>
      <c r="AP290">
        <v>52.432679999999998</v>
      </c>
      <c r="AQ290">
        <v>2.5967099999999999</v>
      </c>
      <c r="AR290">
        <v>9.5152199999999993</v>
      </c>
      <c r="AS290">
        <v>2.1888999999999998</v>
      </c>
      <c r="AT290">
        <v>2.2502390000000001</v>
      </c>
      <c r="AU290">
        <v>0.96432399999999996</v>
      </c>
      <c r="AV290">
        <v>2.2502390000000001</v>
      </c>
      <c r="AW290">
        <v>27.499130000000001</v>
      </c>
      <c r="AX290">
        <v>7.1</v>
      </c>
      <c r="AY290">
        <v>1.84373511195808</v>
      </c>
      <c r="AZ290" s="1">
        <v>6.1999998986720997E-2</v>
      </c>
      <c r="BA290" s="1">
        <v>0.10249999910593</v>
      </c>
      <c r="BB290" s="1">
        <v>0.16449999809265101</v>
      </c>
      <c r="BC290" s="1">
        <v>2.7493675</v>
      </c>
      <c r="BD290" s="2">
        <v>52.432681748739</v>
      </c>
      <c r="BE290" s="2">
        <f t="shared" si="8"/>
        <v>1.8147103044600001</v>
      </c>
      <c r="BF290" s="2">
        <f t="shared" si="9"/>
        <v>3.5851106883207668</v>
      </c>
      <c r="BH290" s="3"/>
      <c r="BJ290" s="3">
        <v>515036</v>
      </c>
      <c r="BM290" s="3">
        <v>18246.8</v>
      </c>
      <c r="BN290">
        <v>4311.0999999999985</v>
      </c>
      <c r="BO290">
        <v>30.935654470173716</v>
      </c>
      <c r="BP290">
        <v>187722667817.215</v>
      </c>
      <c r="BQ290">
        <v>9336686952.9419861</v>
      </c>
      <c r="BR290">
        <v>5.233980219581218</v>
      </c>
      <c r="BS290">
        <v>0.33670709999999998</v>
      </c>
      <c r="BT290">
        <v>3.352687</v>
      </c>
      <c r="BU290">
        <v>5.3117640374464701</v>
      </c>
    </row>
    <row r="291" spans="1:73" x14ac:dyDescent="0.2">
      <c r="A291">
        <v>261</v>
      </c>
      <c r="B291" t="s">
        <v>84</v>
      </c>
      <c r="C291">
        <v>2001</v>
      </c>
      <c r="D291">
        <v>11</v>
      </c>
      <c r="E291">
        <v>0</v>
      </c>
      <c r="F291" t="s">
        <v>85</v>
      </c>
      <c r="G291">
        <v>0.63824999999999998</v>
      </c>
      <c r="H291">
        <v>0</v>
      </c>
      <c r="I291">
        <v>1.0149999999999999</v>
      </c>
      <c r="J291">
        <v>0.73199999999999998</v>
      </c>
      <c r="K291">
        <v>2.2389999999999999</v>
      </c>
      <c r="L291">
        <v>1.901</v>
      </c>
      <c r="M291">
        <v>0.79400000000000004</v>
      </c>
      <c r="N291">
        <v>0.68799999999999994</v>
      </c>
      <c r="O291">
        <v>-0.98199999999999998</v>
      </c>
      <c r="P291">
        <v>4.1319999999999997</v>
      </c>
      <c r="Q291">
        <v>0</v>
      </c>
      <c r="R291">
        <v>12565.5</v>
      </c>
      <c r="S291">
        <v>-1.7929999999999999</v>
      </c>
      <c r="T291">
        <v>6.37</v>
      </c>
      <c r="U291">
        <v>2.63</v>
      </c>
      <c r="W291" t="s">
        <v>64</v>
      </c>
      <c r="X291" t="s">
        <v>65</v>
      </c>
      <c r="Y291" t="s">
        <v>56</v>
      </c>
      <c r="Z291">
        <v>0.48399999999999999</v>
      </c>
      <c r="AA291">
        <v>0.67600000000000005</v>
      </c>
      <c r="AB291">
        <v>500</v>
      </c>
      <c r="AC291">
        <v>16.600000000000001</v>
      </c>
      <c r="AE291">
        <v>-99.127600000000001</v>
      </c>
      <c r="AF291">
        <v>19.427</v>
      </c>
      <c r="AG291" t="s">
        <v>57</v>
      </c>
      <c r="AH291" t="s">
        <v>58</v>
      </c>
      <c r="AI291">
        <v>8702.9850000000006</v>
      </c>
      <c r="AJ291">
        <v>-0.40439009999999997</v>
      </c>
      <c r="AK291">
        <v>873000000000</v>
      </c>
      <c r="AL291">
        <v>12.87772</v>
      </c>
      <c r="AN291">
        <v>-2.3460239999999999</v>
      </c>
      <c r="AO291">
        <v>63.662129999999998</v>
      </c>
      <c r="AP291">
        <v>47.166069999999998</v>
      </c>
      <c r="AQ291">
        <v>3.9724819999999998</v>
      </c>
      <c r="AR291">
        <v>9.8811260000000001</v>
      </c>
      <c r="AS291">
        <v>5.3468439999999999</v>
      </c>
      <c r="AT291">
        <v>1.851599</v>
      </c>
      <c r="AU291">
        <v>0.96432399999999996</v>
      </c>
      <c r="AV291">
        <v>1.851599</v>
      </c>
      <c r="AW291">
        <v>27.495080000000002</v>
      </c>
      <c r="AX291">
        <v>3.12</v>
      </c>
      <c r="AY291">
        <v>1.84373511195808</v>
      </c>
      <c r="AZ291" s="1">
        <v>6.1999998986720997E-2</v>
      </c>
      <c r="BA291" s="1">
        <v>0.10249999910593</v>
      </c>
      <c r="BB291" s="1">
        <v>0.16449999809265101</v>
      </c>
      <c r="BC291" s="1">
        <v>2.7493675</v>
      </c>
      <c r="BD291" s="2">
        <v>47.166073017583997</v>
      </c>
      <c r="BE291" s="2">
        <f t="shared" si="8"/>
        <v>5.2666087311550029</v>
      </c>
      <c r="BF291" s="2">
        <f t="shared" si="9"/>
        <v>10.044515282267943</v>
      </c>
      <c r="BG291">
        <v>1239994</v>
      </c>
      <c r="BH291" s="3">
        <v>77481</v>
      </c>
      <c r="BI291">
        <v>6.6649577252039336</v>
      </c>
      <c r="BJ291" s="3">
        <v>595193</v>
      </c>
      <c r="BK291">
        <v>80157</v>
      </c>
      <c r="BL291">
        <v>15.56337809395848</v>
      </c>
      <c r="BM291" s="3">
        <v>25652.2</v>
      </c>
      <c r="BN291">
        <v>7405.4000000000015</v>
      </c>
      <c r="BO291">
        <v>40.584650459258619</v>
      </c>
      <c r="BP291">
        <v>174070372749.98199</v>
      </c>
      <c r="BQ291">
        <v>13652295067.233002</v>
      </c>
      <c r="BR291">
        <v>7.2725873896732613</v>
      </c>
      <c r="BS291">
        <v>0.36590669999999997</v>
      </c>
      <c r="BT291">
        <v>2.8174790000000001</v>
      </c>
      <c r="BU291">
        <v>2.4942852248110499</v>
      </c>
    </row>
    <row r="292" spans="1:73" x14ac:dyDescent="0.2">
      <c r="A292">
        <v>262</v>
      </c>
      <c r="B292" t="s">
        <v>84</v>
      </c>
      <c r="C292">
        <v>2002</v>
      </c>
      <c r="D292">
        <v>11</v>
      </c>
      <c r="E292">
        <v>0</v>
      </c>
      <c r="F292" t="s">
        <v>85</v>
      </c>
      <c r="G292">
        <v>0.63824999999999998</v>
      </c>
      <c r="H292">
        <v>0</v>
      </c>
      <c r="I292">
        <v>1.0149999999999999</v>
      </c>
      <c r="J292">
        <v>0.73199999999999998</v>
      </c>
      <c r="K292">
        <v>2.2389999999999999</v>
      </c>
      <c r="L292">
        <v>1.901</v>
      </c>
      <c r="M292">
        <v>0.79400000000000004</v>
      </c>
      <c r="N292">
        <v>0.68799999999999994</v>
      </c>
      <c r="O292">
        <v>-0.98199999999999998</v>
      </c>
      <c r="P292">
        <v>4.16</v>
      </c>
      <c r="Q292">
        <v>0</v>
      </c>
      <c r="R292">
        <v>12645.5</v>
      </c>
      <c r="S292">
        <v>-1.403</v>
      </c>
      <c r="T292">
        <v>5.03</v>
      </c>
      <c r="U292">
        <v>3</v>
      </c>
      <c r="V292">
        <v>50.1</v>
      </c>
      <c r="W292" t="s">
        <v>64</v>
      </c>
      <c r="X292" t="s">
        <v>65</v>
      </c>
      <c r="Y292" t="s">
        <v>56</v>
      </c>
      <c r="Z292">
        <v>0.49199999999999999</v>
      </c>
      <c r="AA292">
        <v>0.68500000000000005</v>
      </c>
      <c r="AB292">
        <v>500</v>
      </c>
      <c r="AC292">
        <v>16.600000000000001</v>
      </c>
      <c r="AE292">
        <v>-99.127600000000001</v>
      </c>
      <c r="AF292">
        <v>19.427</v>
      </c>
      <c r="AG292" t="s">
        <v>57</v>
      </c>
      <c r="AH292" t="s">
        <v>58</v>
      </c>
      <c r="AI292">
        <v>8580.8880000000008</v>
      </c>
      <c r="AJ292">
        <v>-3.9844499999999998E-2</v>
      </c>
      <c r="AK292">
        <v>873000000000</v>
      </c>
      <c r="AL292">
        <v>14.88627</v>
      </c>
      <c r="AN292">
        <v>-1.6890670000000001</v>
      </c>
      <c r="AO292">
        <v>62.600360000000002</v>
      </c>
      <c r="AP292">
        <v>46.69791</v>
      </c>
      <c r="AQ292">
        <v>2.6110630000000001</v>
      </c>
      <c r="AR292">
        <v>10.37772</v>
      </c>
      <c r="AS292">
        <v>0.36454560000000003</v>
      </c>
      <c r="AT292">
        <v>1.6154200000000001</v>
      </c>
      <c r="AU292">
        <v>0.96432399999999996</v>
      </c>
      <c r="AV292">
        <v>1.6154200000000001</v>
      </c>
      <c r="AW292">
        <v>27.494679999999999</v>
      </c>
      <c r="AX292">
        <v>1.34</v>
      </c>
      <c r="AY292">
        <v>1.84373511195808</v>
      </c>
      <c r="AZ292" s="1">
        <v>6.1999998986720997E-2</v>
      </c>
      <c r="BA292" s="1">
        <v>0.10249999910593</v>
      </c>
      <c r="BB292" s="1">
        <v>0.16449999809265101</v>
      </c>
      <c r="BC292" s="1">
        <v>2.7493675</v>
      </c>
      <c r="BD292" s="2">
        <v>46.697914708390996</v>
      </c>
      <c r="BE292" s="2">
        <f t="shared" si="8"/>
        <v>0.46815830919300083</v>
      </c>
      <c r="BF292" s="2">
        <f t="shared" si="9"/>
        <v>0.99257427901293926</v>
      </c>
      <c r="BG292">
        <v>1289295</v>
      </c>
      <c r="BH292" s="3">
        <v>49301</v>
      </c>
      <c r="BI292">
        <v>3.9759063350306532</v>
      </c>
      <c r="BJ292" s="3">
        <v>680672</v>
      </c>
      <c r="BK292">
        <v>85479</v>
      </c>
      <c r="BL292">
        <v>14.361560031788008</v>
      </c>
      <c r="BM292" s="3">
        <v>23196.7</v>
      </c>
      <c r="BN292">
        <v>2455.5</v>
      </c>
      <c r="BO292">
        <v>9.572278401072813</v>
      </c>
      <c r="BP292">
        <v>170111370493.01801</v>
      </c>
      <c r="BQ292">
        <v>3959002256.9639893</v>
      </c>
      <c r="BR292">
        <v>2.2743688052247242</v>
      </c>
      <c r="BS292">
        <v>0.49658970000000002</v>
      </c>
      <c r="BT292">
        <v>1.0553729999999999</v>
      </c>
      <c r="BU292">
        <v>1.43891255845385</v>
      </c>
    </row>
    <row r="293" spans="1:73" x14ac:dyDescent="0.2">
      <c r="A293">
        <v>263</v>
      </c>
      <c r="B293" t="s">
        <v>84</v>
      </c>
      <c r="C293">
        <v>2003</v>
      </c>
      <c r="D293">
        <v>11</v>
      </c>
      <c r="E293">
        <v>1</v>
      </c>
      <c r="F293" t="s">
        <v>85</v>
      </c>
      <c r="G293">
        <v>0.63824999999999998</v>
      </c>
      <c r="H293">
        <v>0</v>
      </c>
      <c r="I293">
        <v>1.524</v>
      </c>
      <c r="J293">
        <v>1.548</v>
      </c>
      <c r="K293">
        <v>2.7429999999999999</v>
      </c>
      <c r="L293">
        <v>2.7650000000000001</v>
      </c>
      <c r="M293">
        <v>0.85099999999999998</v>
      </c>
      <c r="N293">
        <v>0.88</v>
      </c>
      <c r="O293">
        <v>-0.98199999999999998</v>
      </c>
      <c r="P293">
        <v>5.4429999999999996</v>
      </c>
      <c r="Q293">
        <v>1</v>
      </c>
      <c r="R293">
        <v>12794</v>
      </c>
      <c r="S293">
        <v>7.1999999999999995E-2</v>
      </c>
      <c r="T293">
        <v>4.55</v>
      </c>
      <c r="U293">
        <v>3.46</v>
      </c>
      <c r="W293" t="s">
        <v>64</v>
      </c>
      <c r="X293" t="s">
        <v>65</v>
      </c>
      <c r="Y293" t="s">
        <v>56</v>
      </c>
      <c r="Z293">
        <v>0.498</v>
      </c>
      <c r="AA293">
        <v>0.69299999999999995</v>
      </c>
      <c r="AB293">
        <v>500</v>
      </c>
      <c r="AC293">
        <v>16.600000000000001</v>
      </c>
      <c r="AE293">
        <v>-99.127600000000001</v>
      </c>
      <c r="AF293">
        <v>19.427</v>
      </c>
      <c r="AG293" t="s">
        <v>57</v>
      </c>
      <c r="AH293" t="s">
        <v>58</v>
      </c>
      <c r="AI293">
        <v>8587.0889999999999</v>
      </c>
      <c r="AJ293">
        <v>1.446383</v>
      </c>
      <c r="AK293">
        <v>885000000000</v>
      </c>
      <c r="AL293">
        <v>15.36828</v>
      </c>
      <c r="AN293">
        <v>-0.71615050000000002</v>
      </c>
      <c r="AO293">
        <v>61.647599999999997</v>
      </c>
      <c r="AP293">
        <v>50.205689999999997</v>
      </c>
      <c r="AQ293">
        <v>2.4924650000000002</v>
      </c>
      <c r="AR293">
        <v>11.03379</v>
      </c>
      <c r="AS293">
        <v>1.486227</v>
      </c>
      <c r="AT293">
        <v>1.5151269999999999</v>
      </c>
      <c r="AU293">
        <v>0.96432399999999996</v>
      </c>
      <c r="AV293">
        <v>1.5151269999999999</v>
      </c>
      <c r="AW293">
        <v>27.509039999999999</v>
      </c>
      <c r="AX293">
        <v>0.48</v>
      </c>
      <c r="AY293">
        <v>1.84373511195808</v>
      </c>
      <c r="AZ293" s="1">
        <v>0.148499995470047</v>
      </c>
      <c r="BA293" s="1">
        <v>0.110500000417233</v>
      </c>
      <c r="BB293" s="1">
        <v>0.25900000333786</v>
      </c>
      <c r="BC293" s="1">
        <v>3.0135005000000001</v>
      </c>
      <c r="BD293" s="2">
        <v>50.205689455196001</v>
      </c>
      <c r="BE293" s="2">
        <f t="shared" si="8"/>
        <v>3.5077747468050049</v>
      </c>
      <c r="BF293" s="2">
        <f t="shared" si="9"/>
        <v>7.5116303773082711</v>
      </c>
      <c r="BG293">
        <v>1474860</v>
      </c>
      <c r="BH293" s="3">
        <v>185565</v>
      </c>
      <c r="BI293">
        <v>14.392749525903692</v>
      </c>
      <c r="BJ293" s="3">
        <v>781949</v>
      </c>
      <c r="BK293">
        <v>101277</v>
      </c>
      <c r="BL293">
        <v>14.878972544779277</v>
      </c>
      <c r="BM293" s="3">
        <v>17017.099999999999</v>
      </c>
      <c r="BN293">
        <v>6179.6000000000022</v>
      </c>
      <c r="BO293">
        <v>26.639996206356948</v>
      </c>
      <c r="BP293">
        <v>171901298614.927</v>
      </c>
      <c r="BQ293">
        <v>1789928121.9089966</v>
      </c>
      <c r="BR293">
        <v>1.0522095711306152</v>
      </c>
      <c r="BS293">
        <v>0.6560745</v>
      </c>
      <c r="BT293">
        <v>2.112641</v>
      </c>
      <c r="BU293">
        <v>-0.67372860593975803</v>
      </c>
    </row>
    <row r="294" spans="1:73" x14ac:dyDescent="0.2">
      <c r="A294">
        <v>264</v>
      </c>
      <c r="B294" t="s">
        <v>84</v>
      </c>
      <c r="C294">
        <v>2004</v>
      </c>
      <c r="D294">
        <v>11</v>
      </c>
      <c r="E294">
        <v>0</v>
      </c>
      <c r="F294" t="s">
        <v>85</v>
      </c>
      <c r="G294">
        <v>0.63824999999999998</v>
      </c>
      <c r="H294">
        <v>0</v>
      </c>
      <c r="I294">
        <v>1.524</v>
      </c>
      <c r="J294">
        <v>1.548</v>
      </c>
      <c r="K294">
        <v>2.7429999999999999</v>
      </c>
      <c r="L294">
        <v>2.7650000000000001</v>
      </c>
      <c r="M294">
        <v>0.85099999999999998</v>
      </c>
      <c r="N294">
        <v>0.88</v>
      </c>
      <c r="O294">
        <v>-0.98199999999999998</v>
      </c>
      <c r="P294">
        <v>5.4930000000000003</v>
      </c>
      <c r="Q294">
        <v>0</v>
      </c>
      <c r="R294">
        <v>13287.6</v>
      </c>
      <c r="S294">
        <v>2.4950000000000001</v>
      </c>
      <c r="T294">
        <v>4.6900000000000004</v>
      </c>
      <c r="U294">
        <v>3.94</v>
      </c>
      <c r="V294">
        <v>50</v>
      </c>
      <c r="W294" t="s">
        <v>64</v>
      </c>
      <c r="X294" t="s">
        <v>65</v>
      </c>
      <c r="Y294" t="s">
        <v>56</v>
      </c>
      <c r="Z294">
        <v>0.504</v>
      </c>
      <c r="AA294">
        <v>0.70099999999999996</v>
      </c>
      <c r="AB294">
        <v>500</v>
      </c>
      <c r="AC294">
        <v>16.600000000000001</v>
      </c>
      <c r="AE294">
        <v>-99.127600000000001</v>
      </c>
      <c r="AF294">
        <v>19.427</v>
      </c>
      <c r="AG294" t="s">
        <v>57</v>
      </c>
      <c r="AH294" t="s">
        <v>58</v>
      </c>
      <c r="AI294">
        <v>8801.3220000000001</v>
      </c>
      <c r="AJ294">
        <v>3.9205909999999999</v>
      </c>
      <c r="AK294">
        <v>920000000000</v>
      </c>
      <c r="AL294">
        <v>14.776579999999999</v>
      </c>
      <c r="AN294">
        <v>-0.59861330000000001</v>
      </c>
      <c r="AO294">
        <v>60.757829999999998</v>
      </c>
      <c r="AP294">
        <v>53.486150000000002</v>
      </c>
      <c r="AQ294">
        <v>3.2161439999999999</v>
      </c>
      <c r="AR294">
        <v>10.48729</v>
      </c>
      <c r="AS294">
        <v>2.474208</v>
      </c>
      <c r="AT294">
        <v>1.5454330000000001</v>
      </c>
      <c r="AU294">
        <v>0.96432399999999996</v>
      </c>
      <c r="AV294">
        <v>1.5454330000000001</v>
      </c>
      <c r="AW294">
        <v>27.547499999999999</v>
      </c>
      <c r="AX294">
        <v>0.13999990000000001</v>
      </c>
      <c r="AY294">
        <v>1.84373511195808</v>
      </c>
      <c r="AZ294" s="1">
        <v>0.148499995470047</v>
      </c>
      <c r="BA294" s="1">
        <v>0.110500000417233</v>
      </c>
      <c r="BB294" s="1">
        <v>0.25900000333786</v>
      </c>
      <c r="BC294" s="1">
        <v>3.0135005000000001</v>
      </c>
      <c r="BD294" s="2">
        <v>53.486145239206003</v>
      </c>
      <c r="BE294" s="2">
        <f t="shared" si="8"/>
        <v>3.2804557840100017</v>
      </c>
      <c r="BF294" s="2">
        <f t="shared" si="9"/>
        <v>6.5340319386262173</v>
      </c>
      <c r="BG294">
        <v>1580925</v>
      </c>
      <c r="BH294" s="3">
        <v>106065</v>
      </c>
      <c r="BI294">
        <v>7.1915300435295553</v>
      </c>
      <c r="BJ294" s="3">
        <v>847699</v>
      </c>
      <c r="BK294">
        <v>65750</v>
      </c>
      <c r="BL294">
        <v>8.4084767676664338</v>
      </c>
      <c r="BM294" s="3">
        <v>20598.900000000001</v>
      </c>
      <c r="BN294">
        <v>3581.8000000000029</v>
      </c>
      <c r="BO294">
        <v>21.048239711819306</v>
      </c>
      <c r="BP294">
        <v>184094386179.73099</v>
      </c>
      <c r="BQ294">
        <v>12193087564.803986</v>
      </c>
      <c r="BR294">
        <v>7.093074725466443</v>
      </c>
      <c r="BS294">
        <v>0.54650120000000002</v>
      </c>
      <c r="BT294">
        <v>1.7843279999999999</v>
      </c>
      <c r="BU294">
        <v>1.11059976639191</v>
      </c>
    </row>
    <row r="295" spans="1:73" x14ac:dyDescent="0.2">
      <c r="A295">
        <v>265</v>
      </c>
      <c r="B295" t="s">
        <v>84</v>
      </c>
      <c r="C295">
        <v>2005</v>
      </c>
      <c r="D295">
        <v>11</v>
      </c>
      <c r="E295">
        <v>0</v>
      </c>
      <c r="F295" t="s">
        <v>85</v>
      </c>
      <c r="G295">
        <v>0.63824999999999998</v>
      </c>
      <c r="H295">
        <v>0</v>
      </c>
      <c r="I295">
        <v>1.524</v>
      </c>
      <c r="J295">
        <v>1.548</v>
      </c>
      <c r="K295">
        <v>2.7429999999999999</v>
      </c>
      <c r="L295">
        <v>2.7650000000000001</v>
      </c>
      <c r="M295">
        <v>0.85099999999999998</v>
      </c>
      <c r="N295">
        <v>0.88</v>
      </c>
      <c r="O295">
        <v>-0.98199999999999998</v>
      </c>
      <c r="P295">
        <v>4.9989999999999997</v>
      </c>
      <c r="Q295">
        <v>0</v>
      </c>
      <c r="R295">
        <v>13655.8</v>
      </c>
      <c r="S295">
        <v>0.87</v>
      </c>
      <c r="T295">
        <v>3.99</v>
      </c>
      <c r="U295">
        <v>3.56</v>
      </c>
      <c r="V295">
        <v>50.1</v>
      </c>
      <c r="W295" t="s">
        <v>64</v>
      </c>
      <c r="X295" t="s">
        <v>65</v>
      </c>
      <c r="Y295" t="s">
        <v>56</v>
      </c>
      <c r="Z295">
        <v>0.504</v>
      </c>
      <c r="AA295">
        <v>0.70099999999999996</v>
      </c>
      <c r="AB295">
        <v>500</v>
      </c>
      <c r="AC295">
        <v>16.600000000000001</v>
      </c>
      <c r="AE295">
        <v>-99.127600000000001</v>
      </c>
      <c r="AF295">
        <v>19.427</v>
      </c>
      <c r="AG295" t="s">
        <v>57</v>
      </c>
      <c r="AH295" t="s">
        <v>58</v>
      </c>
      <c r="AI295">
        <v>8877.8520000000008</v>
      </c>
      <c r="AJ295">
        <v>2.3078069999999999</v>
      </c>
      <c r="AK295">
        <v>941000000000</v>
      </c>
      <c r="AL295">
        <v>16.01332</v>
      </c>
      <c r="AN295">
        <v>-0.65364840000000002</v>
      </c>
      <c r="AO295">
        <v>59.903239999999997</v>
      </c>
      <c r="AP295">
        <v>53.938130000000001</v>
      </c>
      <c r="AQ295">
        <v>2.8974169999999999</v>
      </c>
      <c r="AR295">
        <v>10.521710000000001</v>
      </c>
      <c r="AS295">
        <v>1.612784</v>
      </c>
      <c r="AT295">
        <v>1.383791</v>
      </c>
      <c r="AU295">
        <v>0.96432399999999996</v>
      </c>
      <c r="AV295">
        <v>1.383791</v>
      </c>
      <c r="AW295">
        <v>27.570309999999999</v>
      </c>
      <c r="AX295">
        <v>0.7</v>
      </c>
      <c r="AY295">
        <v>1.84373511195808</v>
      </c>
      <c r="AZ295" s="1">
        <v>0.148499995470047</v>
      </c>
      <c r="BA295" s="1">
        <v>0.110500000417233</v>
      </c>
      <c r="BB295" s="1">
        <v>0.25900000333786</v>
      </c>
      <c r="BC295" s="1">
        <v>3.0135005000000001</v>
      </c>
      <c r="BD295" s="2">
        <v>53.938132105770997</v>
      </c>
      <c r="BE295" s="2">
        <f t="shared" si="8"/>
        <v>0.45198686656499376</v>
      </c>
      <c r="BF295" s="2">
        <f t="shared" si="9"/>
        <v>0.8450541061494965</v>
      </c>
      <c r="BG295">
        <v>1711680</v>
      </c>
      <c r="BH295" s="3">
        <v>130755</v>
      </c>
      <c r="BI295">
        <v>8.2707908344798149</v>
      </c>
      <c r="BJ295" s="3">
        <v>967882</v>
      </c>
      <c r="BK295">
        <v>120183</v>
      </c>
      <c r="BL295">
        <v>14.177555948514744</v>
      </c>
      <c r="BM295" s="3">
        <v>19589.3</v>
      </c>
      <c r="BN295">
        <v>1009.6000000000022</v>
      </c>
      <c r="BO295">
        <v>4.901232590089772</v>
      </c>
      <c r="BP295">
        <v>195523194313.172</v>
      </c>
      <c r="BQ295">
        <v>11428808133.44101</v>
      </c>
      <c r="BR295">
        <v>6.2081241968362297</v>
      </c>
      <c r="BS295">
        <v>3.4417200000000002E-2</v>
      </c>
      <c r="BT295">
        <v>2.7722319999999998</v>
      </c>
      <c r="BU295">
        <v>3.8828312352891898</v>
      </c>
    </row>
    <row r="296" spans="1:73" x14ac:dyDescent="0.2">
      <c r="A296">
        <v>266</v>
      </c>
      <c r="B296" t="s">
        <v>84</v>
      </c>
      <c r="C296">
        <v>2006</v>
      </c>
      <c r="D296">
        <v>11</v>
      </c>
      <c r="E296">
        <v>1</v>
      </c>
      <c r="F296" t="s">
        <v>85</v>
      </c>
      <c r="G296">
        <v>0.63824999999999998</v>
      </c>
      <c r="H296">
        <v>0</v>
      </c>
      <c r="I296">
        <v>2.4809999999999999</v>
      </c>
      <c r="J296">
        <v>2.4550000000000001</v>
      </c>
      <c r="K296">
        <v>3.5</v>
      </c>
      <c r="L296">
        <v>3.4820000000000002</v>
      </c>
      <c r="M296">
        <v>1.2749999999999999</v>
      </c>
      <c r="N296">
        <v>1.2849999999999999</v>
      </c>
      <c r="O296">
        <v>-0.52400000000000002</v>
      </c>
      <c r="P296">
        <v>4.4429999999999996</v>
      </c>
      <c r="Q296">
        <v>1</v>
      </c>
      <c r="R296">
        <v>14287.6</v>
      </c>
      <c r="S296">
        <v>2.984</v>
      </c>
      <c r="T296">
        <v>3.63</v>
      </c>
      <c r="U296">
        <v>3.57</v>
      </c>
      <c r="V296">
        <v>48.9</v>
      </c>
      <c r="W296" t="s">
        <v>64</v>
      </c>
      <c r="X296" t="s">
        <v>65</v>
      </c>
      <c r="Y296" t="s">
        <v>56</v>
      </c>
      <c r="Z296">
        <v>0.48</v>
      </c>
      <c r="AA296">
        <v>0.67200000000000004</v>
      </c>
      <c r="AB296">
        <v>500</v>
      </c>
      <c r="AC296">
        <v>16.600000000000001</v>
      </c>
      <c r="AE296">
        <v>-99.127600000000001</v>
      </c>
      <c r="AF296">
        <v>19.427</v>
      </c>
      <c r="AG296" t="s">
        <v>57</v>
      </c>
      <c r="AH296" t="s">
        <v>58</v>
      </c>
      <c r="AI296">
        <v>9142.8050000000003</v>
      </c>
      <c r="AJ296">
        <v>4.4950780000000004</v>
      </c>
      <c r="AK296">
        <v>983000000000</v>
      </c>
      <c r="AL296">
        <v>19.196339999999999</v>
      </c>
      <c r="AN296">
        <v>-0.3402926</v>
      </c>
      <c r="AO296">
        <v>59.071730000000002</v>
      </c>
      <c r="AP296">
        <v>56.09272</v>
      </c>
      <c r="AQ296">
        <v>2.2695110000000001</v>
      </c>
      <c r="AR296">
        <v>10.34442</v>
      </c>
      <c r="AS296">
        <v>2.187271</v>
      </c>
      <c r="AT296">
        <v>1.2892330000000001</v>
      </c>
      <c r="AU296">
        <v>0.27457599999999999</v>
      </c>
      <c r="AV296">
        <v>1.2892330000000001</v>
      </c>
      <c r="AW296">
        <v>27.614280000000001</v>
      </c>
      <c r="AX296">
        <v>0.35999989999999998</v>
      </c>
      <c r="AY296">
        <v>2.2074003493727199</v>
      </c>
      <c r="AZ296" s="1">
        <v>0.163499996066093</v>
      </c>
      <c r="BA296" s="1">
        <v>9.5499999821186093E-2</v>
      </c>
      <c r="BB296" s="1">
        <v>0.25900000333786</v>
      </c>
      <c r="BC296" s="1">
        <v>3.5142959999999999</v>
      </c>
      <c r="BD296" s="2">
        <v>56.092724631803002</v>
      </c>
      <c r="BE296" s="2">
        <f t="shared" si="8"/>
        <v>2.1545925260320047</v>
      </c>
      <c r="BF296" s="2">
        <f t="shared" si="9"/>
        <v>3.994562736816536</v>
      </c>
      <c r="BG296">
        <v>1844651</v>
      </c>
      <c r="BH296" s="3">
        <v>132971</v>
      </c>
      <c r="BI296">
        <v>7.7684497102262107</v>
      </c>
      <c r="BJ296" s="3">
        <v>1113105</v>
      </c>
      <c r="BK296">
        <v>145223</v>
      </c>
      <c r="BL296">
        <v>15.004205058054598</v>
      </c>
      <c r="BM296" s="3">
        <v>15460.7</v>
      </c>
      <c r="BN296">
        <v>4128.5999999999985</v>
      </c>
      <c r="BO296">
        <v>21.075791375904188</v>
      </c>
      <c r="BP296">
        <v>213732353484.457</v>
      </c>
      <c r="BQ296">
        <v>18209159171.285004</v>
      </c>
      <c r="BR296">
        <v>9.3130430050765032</v>
      </c>
      <c r="BS296">
        <v>0.1772833</v>
      </c>
      <c r="BT296">
        <v>1.014758</v>
      </c>
      <c r="BU296">
        <v>2.8680733256103301</v>
      </c>
    </row>
    <row r="297" spans="1:73" x14ac:dyDescent="0.2">
      <c r="A297">
        <v>267</v>
      </c>
      <c r="B297" t="s">
        <v>84</v>
      </c>
      <c r="C297">
        <v>2007</v>
      </c>
      <c r="D297">
        <v>11</v>
      </c>
      <c r="E297">
        <v>0</v>
      </c>
      <c r="F297" t="s">
        <v>85</v>
      </c>
      <c r="G297">
        <v>0.63824999999999998</v>
      </c>
      <c r="H297">
        <v>0</v>
      </c>
      <c r="I297">
        <v>2.4809999999999999</v>
      </c>
      <c r="J297">
        <v>2.4550000000000001</v>
      </c>
      <c r="K297">
        <v>3.5</v>
      </c>
      <c r="L297">
        <v>3.4820000000000002</v>
      </c>
      <c r="M297">
        <v>1.2749999999999999</v>
      </c>
      <c r="N297">
        <v>1.2849999999999999</v>
      </c>
      <c r="O297">
        <v>-0.52400000000000002</v>
      </c>
      <c r="P297">
        <v>5.1529999999999996</v>
      </c>
      <c r="Q297">
        <v>0</v>
      </c>
      <c r="R297">
        <v>14684.7</v>
      </c>
      <c r="S297">
        <v>0.78300000000000003</v>
      </c>
      <c r="T297">
        <v>3.97</v>
      </c>
      <c r="U297">
        <v>3.63</v>
      </c>
      <c r="W297" t="s">
        <v>64</v>
      </c>
      <c r="X297" t="s">
        <v>65</v>
      </c>
      <c r="Y297" t="s">
        <v>56</v>
      </c>
      <c r="Z297">
        <v>0.45900000000000002</v>
      </c>
      <c r="AA297">
        <v>0.64700000000000002</v>
      </c>
      <c r="AB297">
        <v>500</v>
      </c>
      <c r="AC297">
        <v>80.599999999999994</v>
      </c>
      <c r="AE297">
        <v>-99.127600000000001</v>
      </c>
      <c r="AF297">
        <v>19.427</v>
      </c>
      <c r="AG297" t="s">
        <v>57</v>
      </c>
      <c r="AH297" t="s">
        <v>58</v>
      </c>
      <c r="AI297">
        <v>9214.3539999999994</v>
      </c>
      <c r="AJ297">
        <v>2.2914460000000001</v>
      </c>
      <c r="AK297">
        <v>1010000000000</v>
      </c>
      <c r="AL297">
        <v>21.403649999999999</v>
      </c>
      <c r="AN297">
        <v>-0.90175530000000004</v>
      </c>
      <c r="AO297">
        <v>58.130960000000002</v>
      </c>
      <c r="AP297">
        <v>56.795279999999998</v>
      </c>
      <c r="AQ297">
        <v>2.9552830000000001</v>
      </c>
      <c r="AR297">
        <v>10.405379999999999</v>
      </c>
      <c r="AS297">
        <v>2.2036319999999998</v>
      </c>
      <c r="AT297">
        <v>1.3787659999999999</v>
      </c>
      <c r="AU297">
        <v>0.27457599999999999</v>
      </c>
      <c r="AV297">
        <v>1.3787659999999999</v>
      </c>
      <c r="AW297">
        <v>27.636939999999999</v>
      </c>
      <c r="AX297">
        <v>0.33999990000000002</v>
      </c>
      <c r="AY297">
        <v>2.2074003493727199</v>
      </c>
      <c r="AZ297" s="1">
        <v>0.163499996066093</v>
      </c>
      <c r="BA297" s="1">
        <v>9.5499999821186093E-2</v>
      </c>
      <c r="BB297" s="1">
        <v>0.25900000333786</v>
      </c>
      <c r="BC297" s="1">
        <v>3.5142959999999999</v>
      </c>
      <c r="BD297" s="2">
        <v>56.795279361515</v>
      </c>
      <c r="BE297" s="2">
        <f t="shared" si="8"/>
        <v>0.7025547297119985</v>
      </c>
      <c r="BF297" s="2">
        <f t="shared" si="9"/>
        <v>1.2524881512239283</v>
      </c>
      <c r="BG297">
        <v>2074993</v>
      </c>
      <c r="BH297" s="3">
        <v>230342</v>
      </c>
      <c r="BI297">
        <v>12.487023290584506</v>
      </c>
      <c r="BJ297" s="3">
        <v>1243599</v>
      </c>
      <c r="BK297">
        <v>130494</v>
      </c>
      <c r="BL297">
        <v>11.723422318649185</v>
      </c>
      <c r="BM297" s="3">
        <v>22778.1</v>
      </c>
      <c r="BN297">
        <v>7317.3999999999978</v>
      </c>
      <c r="BO297">
        <v>47.329034261061899</v>
      </c>
      <c r="BP297">
        <v>226162598598.23401</v>
      </c>
      <c r="BQ297">
        <v>12430245113.777008</v>
      </c>
      <c r="BR297">
        <v>5.8157994852571333</v>
      </c>
      <c r="BS297">
        <v>6.0957900000000002E-2</v>
      </c>
      <c r="BT297">
        <v>0.13282869999999999</v>
      </c>
      <c r="BU297">
        <v>2.7352444537085199</v>
      </c>
    </row>
    <row r="298" spans="1:73" x14ac:dyDescent="0.2">
      <c r="A298">
        <v>268</v>
      </c>
      <c r="B298" t="s">
        <v>84</v>
      </c>
      <c r="C298">
        <v>2008</v>
      </c>
      <c r="D298">
        <v>11</v>
      </c>
      <c r="E298">
        <v>0</v>
      </c>
      <c r="F298" t="s">
        <v>85</v>
      </c>
      <c r="G298">
        <v>0.63824999999999998</v>
      </c>
      <c r="H298">
        <v>0</v>
      </c>
      <c r="I298">
        <v>2.4809999999999999</v>
      </c>
      <c r="J298">
        <v>2.4550000000000001</v>
      </c>
      <c r="K298">
        <v>3.5</v>
      </c>
      <c r="L298">
        <v>3.4820000000000002</v>
      </c>
      <c r="M298">
        <v>1.2749999999999999</v>
      </c>
      <c r="N298">
        <v>1.2849999999999999</v>
      </c>
      <c r="O298">
        <v>-0.52400000000000002</v>
      </c>
      <c r="P298">
        <v>4.78</v>
      </c>
      <c r="Q298">
        <v>0</v>
      </c>
      <c r="R298">
        <v>14808.1</v>
      </c>
      <c r="S298">
        <v>-0.35799999999999998</v>
      </c>
      <c r="T298">
        <v>5.12</v>
      </c>
      <c r="U298">
        <v>3.87</v>
      </c>
      <c r="V298">
        <v>49.9</v>
      </c>
      <c r="W298" t="s">
        <v>64</v>
      </c>
      <c r="X298" t="s">
        <v>65</v>
      </c>
      <c r="Y298" t="s">
        <v>56</v>
      </c>
      <c r="Z298">
        <v>0.45700000000000002</v>
      </c>
      <c r="AA298">
        <v>0.64200000000000002</v>
      </c>
      <c r="AB298">
        <v>500</v>
      </c>
      <c r="AC298">
        <v>80.599999999999994</v>
      </c>
      <c r="AE298">
        <v>-99.127600000000001</v>
      </c>
      <c r="AF298">
        <v>19.427</v>
      </c>
      <c r="AG298" t="s">
        <v>57</v>
      </c>
      <c r="AH298" t="s">
        <v>58</v>
      </c>
      <c r="AI298">
        <v>9181.4</v>
      </c>
      <c r="AJ298">
        <v>1.1435850000000001</v>
      </c>
      <c r="AK298">
        <v>1020000000000</v>
      </c>
      <c r="AL298">
        <v>20.67314</v>
      </c>
      <c r="AN298">
        <v>-1.4973700000000001</v>
      </c>
      <c r="AO298">
        <v>57.14931</v>
      </c>
      <c r="AP298">
        <v>57.777030000000003</v>
      </c>
      <c r="AQ298">
        <v>2.683163</v>
      </c>
      <c r="AR298">
        <v>10.729520000000001</v>
      </c>
      <c r="AS298">
        <v>1.147861</v>
      </c>
      <c r="AT298">
        <v>1.633154</v>
      </c>
      <c r="AU298">
        <v>0.27457599999999999</v>
      </c>
      <c r="AV298">
        <v>1.633154</v>
      </c>
      <c r="AW298">
        <v>27.648309999999999</v>
      </c>
      <c r="AX298">
        <v>1.1499999999999999</v>
      </c>
      <c r="AY298">
        <v>2.2074003493727199</v>
      </c>
      <c r="AZ298" s="1">
        <v>0.163499996066093</v>
      </c>
      <c r="BA298" s="1">
        <v>9.5499999821186093E-2</v>
      </c>
      <c r="BB298" s="1">
        <v>0.25900000333786</v>
      </c>
      <c r="BC298" s="1">
        <v>3.5142959999999999</v>
      </c>
      <c r="BD298" s="2">
        <v>57.777030929614</v>
      </c>
      <c r="BE298" s="2">
        <f t="shared" si="8"/>
        <v>0.98175156809899988</v>
      </c>
      <c r="BF298" s="2">
        <f t="shared" si="9"/>
        <v>1.7285795212836714</v>
      </c>
      <c r="BG298">
        <v>2443919</v>
      </c>
      <c r="BH298" s="3">
        <v>368926</v>
      </c>
      <c r="BI298">
        <v>17.779626244522269</v>
      </c>
      <c r="BJ298" s="3">
        <v>1356503</v>
      </c>
      <c r="BK298">
        <v>112904</v>
      </c>
      <c r="BL298">
        <v>9.0788107742125881</v>
      </c>
      <c r="BM298" s="3">
        <v>29094.7</v>
      </c>
      <c r="BN298">
        <v>6316.6000000000022</v>
      </c>
      <c r="BO298">
        <v>27.731022341635178</v>
      </c>
      <c r="BP298">
        <v>240989345580.90201</v>
      </c>
      <c r="BQ298">
        <v>14826746982.667999</v>
      </c>
      <c r="BR298">
        <v>6.5557908666441067</v>
      </c>
      <c r="BS298">
        <v>0.32413769999999997</v>
      </c>
      <c r="BT298">
        <v>0.90707369999999998</v>
      </c>
      <c r="BU298">
        <v>3.6423182729621102</v>
      </c>
    </row>
    <row r="299" spans="1:73" x14ac:dyDescent="0.2">
      <c r="A299">
        <v>269</v>
      </c>
      <c r="B299" t="s">
        <v>84</v>
      </c>
      <c r="C299">
        <v>2009</v>
      </c>
      <c r="D299">
        <v>11</v>
      </c>
      <c r="E299">
        <v>1</v>
      </c>
      <c r="F299" t="s">
        <v>85</v>
      </c>
      <c r="G299">
        <v>0.63824999999999998</v>
      </c>
      <c r="H299">
        <v>0</v>
      </c>
      <c r="I299">
        <v>0.85299999999999998</v>
      </c>
      <c r="J299">
        <v>1.087</v>
      </c>
      <c r="K299">
        <v>2.052</v>
      </c>
      <c r="L299">
        <v>2.3170000000000002</v>
      </c>
      <c r="M299">
        <v>0.71499999999999997</v>
      </c>
      <c r="N299">
        <v>0.78</v>
      </c>
      <c r="O299">
        <v>-0.754</v>
      </c>
      <c r="P299">
        <v>4.726</v>
      </c>
      <c r="Q299">
        <v>1</v>
      </c>
      <c r="R299">
        <v>14027</v>
      </c>
      <c r="S299">
        <v>-6.6740000000000004</v>
      </c>
      <c r="T299">
        <v>5.3</v>
      </c>
      <c r="U299">
        <v>5.36</v>
      </c>
      <c r="W299" t="s">
        <v>64</v>
      </c>
      <c r="X299" t="s">
        <v>65</v>
      </c>
      <c r="Y299" t="s">
        <v>56</v>
      </c>
      <c r="Z299">
        <v>0.46</v>
      </c>
      <c r="AA299">
        <v>0.64500000000000002</v>
      </c>
      <c r="AB299">
        <v>500</v>
      </c>
      <c r="AC299">
        <v>80.599999999999994</v>
      </c>
      <c r="AE299">
        <v>-99.127600000000001</v>
      </c>
      <c r="AF299">
        <v>19.427</v>
      </c>
      <c r="AG299" t="s">
        <v>57</v>
      </c>
      <c r="AH299" t="s">
        <v>58</v>
      </c>
      <c r="AI299">
        <v>8568.6180000000004</v>
      </c>
      <c r="AJ299">
        <v>-5.2857440000000002</v>
      </c>
      <c r="AK299">
        <v>964000000000</v>
      </c>
      <c r="AL299">
        <v>22.65381</v>
      </c>
      <c r="AN299">
        <v>-0.85061390000000003</v>
      </c>
      <c r="AO299">
        <v>56.222630000000002</v>
      </c>
      <c r="AP299">
        <v>55.967770000000002</v>
      </c>
      <c r="AQ299">
        <v>2.1839140000000001</v>
      </c>
      <c r="AR299">
        <v>11.91696</v>
      </c>
      <c r="AS299">
        <v>6.4293290000000001</v>
      </c>
      <c r="AT299">
        <v>1.6677070000000001</v>
      </c>
      <c r="AU299">
        <v>0.56851600000000002</v>
      </c>
      <c r="AV299">
        <v>1.6677070000000001</v>
      </c>
      <c r="AW299">
        <v>27.594000000000001</v>
      </c>
      <c r="AX299">
        <v>0.1800003</v>
      </c>
      <c r="AY299">
        <v>2.0247737017627401</v>
      </c>
      <c r="AZ299" s="1">
        <v>8.3999998867511805E-2</v>
      </c>
      <c r="BA299" s="1">
        <v>0.164000004529953</v>
      </c>
      <c r="BB299" s="1">
        <v>0.24799999594688399</v>
      </c>
      <c r="BC299" s="1">
        <v>3.0344959999999999</v>
      </c>
      <c r="BD299" s="2">
        <v>55.967769759143998</v>
      </c>
      <c r="BE299" s="2">
        <f t="shared" si="8"/>
        <v>1.8092611704700019</v>
      </c>
      <c r="BF299" s="2">
        <f t="shared" si="9"/>
        <v>3.1314540421332953</v>
      </c>
      <c r="BG299">
        <v>2531226</v>
      </c>
      <c r="BH299" s="3">
        <v>87307</v>
      </c>
      <c r="BI299">
        <v>3.5724179074674733</v>
      </c>
      <c r="BJ299" s="3">
        <v>1466042</v>
      </c>
      <c r="BK299">
        <v>109539</v>
      </c>
      <c r="BL299">
        <v>8.0751019349017295</v>
      </c>
      <c r="BM299" s="3">
        <v>7993.1</v>
      </c>
      <c r="BN299">
        <v>21101.599999999999</v>
      </c>
      <c r="BO299">
        <v>72.527298786376903</v>
      </c>
      <c r="BP299">
        <v>212868947755.845</v>
      </c>
      <c r="BQ299">
        <v>28120397825.057007</v>
      </c>
      <c r="BR299">
        <v>11.66873073051139</v>
      </c>
      <c r="BS299">
        <v>1.1874450000000001</v>
      </c>
      <c r="BT299">
        <v>1.6180239999999999</v>
      </c>
      <c r="BU299">
        <v>2.0242939670714701</v>
      </c>
    </row>
    <row r="300" spans="1:73" x14ac:dyDescent="0.2">
      <c r="A300">
        <v>270</v>
      </c>
      <c r="B300" t="s">
        <v>84</v>
      </c>
      <c r="C300">
        <v>2010</v>
      </c>
      <c r="D300">
        <v>11</v>
      </c>
      <c r="E300">
        <v>0</v>
      </c>
      <c r="F300" t="s">
        <v>85</v>
      </c>
      <c r="G300">
        <v>0.63824999999999998</v>
      </c>
      <c r="H300">
        <v>0</v>
      </c>
      <c r="I300">
        <v>0.85299999999999998</v>
      </c>
      <c r="J300">
        <v>1.087</v>
      </c>
      <c r="K300">
        <v>2.052</v>
      </c>
      <c r="L300">
        <v>2.3170000000000002</v>
      </c>
      <c r="M300">
        <v>0.71499999999999997</v>
      </c>
      <c r="N300">
        <v>0.78</v>
      </c>
      <c r="O300">
        <v>-0.754</v>
      </c>
      <c r="P300">
        <v>4.718</v>
      </c>
      <c r="Q300">
        <v>0</v>
      </c>
      <c r="R300">
        <v>14697.3</v>
      </c>
      <c r="S300">
        <v>3.617</v>
      </c>
      <c r="T300">
        <v>4.16</v>
      </c>
      <c r="U300">
        <v>5.3</v>
      </c>
      <c r="V300">
        <v>47.2</v>
      </c>
      <c r="W300" t="s">
        <v>64</v>
      </c>
      <c r="X300" t="s">
        <v>65</v>
      </c>
      <c r="Y300" t="s">
        <v>56</v>
      </c>
      <c r="Z300">
        <v>0.46300000000000002</v>
      </c>
      <c r="AA300">
        <v>0.65200000000000002</v>
      </c>
      <c r="AB300">
        <v>500</v>
      </c>
      <c r="AC300">
        <v>80.599999999999994</v>
      </c>
      <c r="AE300">
        <v>-99.127600000000001</v>
      </c>
      <c r="AF300">
        <v>19.427</v>
      </c>
      <c r="AG300" t="s">
        <v>57</v>
      </c>
      <c r="AH300" t="s">
        <v>58</v>
      </c>
      <c r="AI300">
        <v>8878.5619999999999</v>
      </c>
      <c r="AJ300">
        <v>5.1181179999999999</v>
      </c>
      <c r="AK300">
        <v>1010000000000</v>
      </c>
      <c r="AL300">
        <v>23.32882</v>
      </c>
      <c r="AN300">
        <v>-0.4478278</v>
      </c>
      <c r="AO300">
        <v>55.402250000000002</v>
      </c>
      <c r="AP300">
        <v>60.76032</v>
      </c>
      <c r="AQ300">
        <v>2.8860570000000001</v>
      </c>
      <c r="AR300">
        <v>11.77136</v>
      </c>
      <c r="AS300">
        <v>10.40386</v>
      </c>
      <c r="AT300">
        <v>1.4255150000000001</v>
      </c>
      <c r="AU300">
        <v>0.56851600000000002</v>
      </c>
      <c r="AV300">
        <v>1.4255150000000001</v>
      </c>
      <c r="AW300">
        <v>27.643920000000001</v>
      </c>
      <c r="AX300">
        <v>1.1399999999999999</v>
      </c>
      <c r="AY300">
        <v>2.0247737017627401</v>
      </c>
      <c r="AZ300" s="1">
        <v>8.3999998867511805E-2</v>
      </c>
      <c r="BA300" s="1">
        <v>0.164000004529953</v>
      </c>
      <c r="BB300" s="1">
        <v>0.24799999594688399</v>
      </c>
      <c r="BC300" s="1">
        <v>3.0344959999999999</v>
      </c>
      <c r="BD300" s="2">
        <v>60.760318469993003</v>
      </c>
      <c r="BE300" s="2">
        <f t="shared" si="8"/>
        <v>4.7925487108490046</v>
      </c>
      <c r="BF300" s="2">
        <f t="shared" si="9"/>
        <v>8.5630510764921084</v>
      </c>
      <c r="BG300">
        <v>2720836</v>
      </c>
      <c r="BH300" s="3">
        <v>189610</v>
      </c>
      <c r="BI300">
        <v>7.4908364563259067</v>
      </c>
      <c r="BJ300" s="3">
        <v>1694604</v>
      </c>
      <c r="BK300">
        <v>228562</v>
      </c>
      <c r="BL300">
        <v>15.590412825826272</v>
      </c>
      <c r="BM300" s="3">
        <v>12633.3</v>
      </c>
      <c r="BN300">
        <v>4640.1999999999989</v>
      </c>
      <c r="BO300">
        <v>58.052570341919889</v>
      </c>
      <c r="BP300">
        <v>222901956176.42899</v>
      </c>
      <c r="BQ300">
        <v>10033008420.583984</v>
      </c>
      <c r="BR300">
        <v>4.7132324964990087</v>
      </c>
      <c r="BS300">
        <v>0.14560029999999999</v>
      </c>
      <c r="BT300">
        <v>6.6316730000000002</v>
      </c>
      <c r="BU300">
        <v>-4.6073795749048001</v>
      </c>
    </row>
    <row r="301" spans="1:73" x14ac:dyDescent="0.2">
      <c r="A301">
        <v>271</v>
      </c>
      <c r="B301" t="s">
        <v>84</v>
      </c>
      <c r="C301">
        <v>2011</v>
      </c>
      <c r="D301">
        <v>11</v>
      </c>
      <c r="E301">
        <v>0</v>
      </c>
      <c r="F301" t="s">
        <v>85</v>
      </c>
      <c r="G301">
        <v>0.63824999999999998</v>
      </c>
      <c r="H301">
        <v>0</v>
      </c>
      <c r="I301">
        <v>0.85299999999999998</v>
      </c>
      <c r="J301">
        <v>1.087</v>
      </c>
      <c r="K301">
        <v>2.052</v>
      </c>
      <c r="L301">
        <v>2.3170000000000002</v>
      </c>
      <c r="M301">
        <v>0.71499999999999997</v>
      </c>
      <c r="N301">
        <v>0.78</v>
      </c>
      <c r="O301">
        <v>-0.754</v>
      </c>
      <c r="P301">
        <v>5.4050000000000002</v>
      </c>
      <c r="Q301">
        <v>0</v>
      </c>
      <c r="R301">
        <v>15210</v>
      </c>
      <c r="S301">
        <v>2.2269999999999999</v>
      </c>
      <c r="T301">
        <v>3.41</v>
      </c>
      <c r="U301">
        <v>5.17</v>
      </c>
      <c r="W301" t="s">
        <v>64</v>
      </c>
      <c r="X301" t="s">
        <v>65</v>
      </c>
      <c r="Y301" t="s">
        <v>56</v>
      </c>
      <c r="Z301">
        <v>0.46</v>
      </c>
      <c r="AA301">
        <v>0.65</v>
      </c>
      <c r="AB301">
        <v>500</v>
      </c>
      <c r="AC301">
        <v>80.599999999999994</v>
      </c>
      <c r="AE301">
        <v>-99.127600000000001</v>
      </c>
      <c r="AF301">
        <v>19.427</v>
      </c>
      <c r="AG301" t="s">
        <v>57</v>
      </c>
      <c r="AH301" t="s">
        <v>58</v>
      </c>
      <c r="AI301">
        <v>9076.3019999999997</v>
      </c>
      <c r="AJ301">
        <v>3.663008</v>
      </c>
      <c r="AK301">
        <v>1050000000000</v>
      </c>
      <c r="AL301">
        <v>24.55434</v>
      </c>
      <c r="AN301">
        <v>-0.99727429999999995</v>
      </c>
      <c r="AO301">
        <v>54.610100000000003</v>
      </c>
      <c r="AP301">
        <v>63.469679999999997</v>
      </c>
      <c r="AQ301">
        <v>2.0197799999999999</v>
      </c>
      <c r="AR301">
        <v>11.77708</v>
      </c>
      <c r="AS301">
        <v>1.4551099999999999</v>
      </c>
      <c r="AT301">
        <v>1.226712</v>
      </c>
      <c r="AU301">
        <v>0.56851600000000002</v>
      </c>
      <c r="AV301">
        <v>1.226712</v>
      </c>
      <c r="AW301">
        <v>27.6799</v>
      </c>
      <c r="AX301">
        <v>0.74999979999999999</v>
      </c>
      <c r="AY301">
        <v>2.0247737017627401</v>
      </c>
      <c r="AZ301" s="1">
        <v>8.3999998867511805E-2</v>
      </c>
      <c r="BA301" s="1">
        <v>0.164000004529953</v>
      </c>
      <c r="BB301" s="1">
        <v>0.24799999594688399</v>
      </c>
      <c r="BC301" s="1">
        <v>3.0344959999999999</v>
      </c>
      <c r="BD301" s="2">
        <v>63.469677920751998</v>
      </c>
      <c r="BE301" s="2">
        <f t="shared" si="8"/>
        <v>2.7093594507589955</v>
      </c>
      <c r="BF301" s="2">
        <f t="shared" si="9"/>
        <v>4.459093564654431</v>
      </c>
      <c r="BG301">
        <v>3048389</v>
      </c>
      <c r="BH301" s="3">
        <v>327553</v>
      </c>
      <c r="BI301">
        <v>12.038689579232265</v>
      </c>
      <c r="BJ301" s="3">
        <v>1938236</v>
      </c>
      <c r="BK301">
        <v>243632</v>
      </c>
      <c r="BL301">
        <v>14.376928179090807</v>
      </c>
      <c r="BM301" s="3">
        <v>12270.5</v>
      </c>
      <c r="BN301">
        <v>362.79999999999927</v>
      </c>
      <c r="BO301">
        <v>2.8717753872701457</v>
      </c>
      <c r="BP301">
        <v>240394665599.85699</v>
      </c>
      <c r="BQ301">
        <v>17492709423.428009</v>
      </c>
      <c r="BR301">
        <v>7.8477146291091158</v>
      </c>
      <c r="BS301">
        <v>5.7200999999999997E-3</v>
      </c>
      <c r="BT301">
        <v>7.6093729999999997</v>
      </c>
      <c r="BU301">
        <v>3.0019937613147398</v>
      </c>
    </row>
    <row r="302" spans="1:73" x14ac:dyDescent="0.2">
      <c r="A302">
        <v>272</v>
      </c>
      <c r="B302" t="s">
        <v>84</v>
      </c>
      <c r="C302">
        <v>2012</v>
      </c>
      <c r="D302">
        <v>11</v>
      </c>
      <c r="E302">
        <v>1</v>
      </c>
      <c r="F302" t="s">
        <v>85</v>
      </c>
      <c r="G302">
        <v>0.63824999999999998</v>
      </c>
      <c r="H302">
        <v>0</v>
      </c>
      <c r="I302">
        <v>2.5270000000000001</v>
      </c>
      <c r="J302">
        <v>2.6709999999999998</v>
      </c>
      <c r="K302">
        <v>3.5329999999999999</v>
      </c>
      <c r="L302">
        <v>3.6320000000000001</v>
      </c>
      <c r="M302">
        <v>1.222</v>
      </c>
      <c r="N302">
        <v>1.2529999999999999</v>
      </c>
      <c r="O302">
        <v>-0.54500000000000004</v>
      </c>
      <c r="P302">
        <v>5.4050000000000002</v>
      </c>
      <c r="Q302">
        <v>1</v>
      </c>
      <c r="R302">
        <v>15639</v>
      </c>
      <c r="S302">
        <v>2.2469999999999999</v>
      </c>
      <c r="T302">
        <v>4.1100000000000003</v>
      </c>
      <c r="U302">
        <v>4.8899999999999997</v>
      </c>
      <c r="V302">
        <v>48.7</v>
      </c>
      <c r="W302" t="s">
        <v>64</v>
      </c>
      <c r="X302" t="s">
        <v>65</v>
      </c>
      <c r="Y302" t="s">
        <v>56</v>
      </c>
      <c r="Z302">
        <v>0.46</v>
      </c>
      <c r="AA302">
        <v>0.64800000000000002</v>
      </c>
      <c r="AB302">
        <v>500</v>
      </c>
      <c r="AC302">
        <v>80.599999999999994</v>
      </c>
      <c r="AE302">
        <v>-99.127600000000001</v>
      </c>
      <c r="AF302">
        <v>19.427</v>
      </c>
      <c r="AG302" t="s">
        <v>57</v>
      </c>
      <c r="AH302" t="s">
        <v>58</v>
      </c>
      <c r="AI302">
        <v>9280.259</v>
      </c>
      <c r="AJ302">
        <v>3.6423230000000002</v>
      </c>
      <c r="AK302">
        <v>1090000000000</v>
      </c>
      <c r="AL302">
        <v>26.048100000000002</v>
      </c>
      <c r="AN302">
        <v>-1.5303089999999999</v>
      </c>
      <c r="AO302">
        <v>53.948480000000004</v>
      </c>
      <c r="AP302">
        <v>65.767240000000001</v>
      </c>
      <c r="AQ302">
        <v>1.516913</v>
      </c>
      <c r="AR302">
        <v>11.946730000000001</v>
      </c>
      <c r="AS302">
        <v>2.0685200000000001E-2</v>
      </c>
      <c r="AT302">
        <v>1.4134230000000001</v>
      </c>
      <c r="AU302">
        <v>0.29702499999999998</v>
      </c>
      <c r="AV302">
        <v>1.4134230000000001</v>
      </c>
      <c r="AW302">
        <v>27.715669999999999</v>
      </c>
      <c r="AX302">
        <v>0.7</v>
      </c>
      <c r="AY302">
        <v>2.1907257424170199</v>
      </c>
      <c r="AZ302" s="1">
        <v>3.9499998092651402E-2</v>
      </c>
      <c r="BA302" s="1">
        <v>8.2500003278255504E-2</v>
      </c>
      <c r="BB302" s="1">
        <v>0.122000001370907</v>
      </c>
      <c r="BC302" s="1">
        <v>3.56237</v>
      </c>
      <c r="BD302" s="2">
        <v>65.767245823390994</v>
      </c>
      <c r="BE302" s="2">
        <f t="shared" si="8"/>
        <v>2.2975679026389955</v>
      </c>
      <c r="BF302" s="2">
        <f t="shared" si="9"/>
        <v>3.6199457408744538</v>
      </c>
      <c r="BG302">
        <v>3298565</v>
      </c>
      <c r="BH302" s="3">
        <v>250176</v>
      </c>
      <c r="BI302">
        <v>8.2068266221929029</v>
      </c>
      <c r="BJ302" s="3">
        <v>2102633</v>
      </c>
      <c r="BK302">
        <v>164397</v>
      </c>
      <c r="BL302">
        <v>8.4817844679388887</v>
      </c>
      <c r="BM302" s="3">
        <v>-555.400000000001</v>
      </c>
      <c r="BN302">
        <v>12825.900000000001</v>
      </c>
      <c r="BO302">
        <v>104.52630292164136</v>
      </c>
      <c r="BP302">
        <v>252239923196.91599</v>
      </c>
      <c r="BQ302">
        <v>11845257597.05899</v>
      </c>
      <c r="BR302">
        <v>4.9274211503410479</v>
      </c>
      <c r="BS302">
        <v>0.169651</v>
      </c>
      <c r="BT302">
        <v>1.8930560000000001</v>
      </c>
      <c r="BU302">
        <v>4.8950495583662503</v>
      </c>
    </row>
    <row r="303" spans="1:73" x14ac:dyDescent="0.2">
      <c r="A303">
        <v>273</v>
      </c>
      <c r="B303" t="s">
        <v>84</v>
      </c>
      <c r="C303">
        <v>2013</v>
      </c>
      <c r="D303">
        <v>11</v>
      </c>
      <c r="E303">
        <v>0</v>
      </c>
      <c r="F303" t="s">
        <v>85</v>
      </c>
      <c r="G303">
        <v>0.66161999999999999</v>
      </c>
      <c r="H303">
        <v>0</v>
      </c>
      <c r="I303">
        <v>2.5270000000000001</v>
      </c>
      <c r="J303">
        <v>2.6709999999999998</v>
      </c>
      <c r="K303">
        <v>3.5329999999999999</v>
      </c>
      <c r="L303">
        <v>3.6320000000000001</v>
      </c>
      <c r="M303">
        <v>1.222</v>
      </c>
      <c r="N303">
        <v>1.2529999999999999</v>
      </c>
      <c r="O303">
        <v>-0.745</v>
      </c>
      <c r="P303">
        <v>4.3470000000000004</v>
      </c>
      <c r="Q303">
        <v>0</v>
      </c>
      <c r="R303">
        <v>15680</v>
      </c>
      <c r="S303">
        <v>2.9000000000000001E-2</v>
      </c>
      <c r="T303">
        <v>3.81</v>
      </c>
      <c r="U303">
        <v>4.91</v>
      </c>
      <c r="W303" t="s">
        <v>64</v>
      </c>
      <c r="X303" t="s">
        <v>65</v>
      </c>
      <c r="Y303" t="s">
        <v>56</v>
      </c>
      <c r="Z303">
        <v>0.42</v>
      </c>
      <c r="AA303">
        <v>0.61899999999999999</v>
      </c>
      <c r="AB303">
        <v>500</v>
      </c>
      <c r="AC303">
        <v>80.599999999999994</v>
      </c>
      <c r="AE303">
        <v>-99.127600000000001</v>
      </c>
      <c r="AF303">
        <v>19.427</v>
      </c>
      <c r="AG303" t="s">
        <v>57</v>
      </c>
      <c r="AH303" t="s">
        <v>58</v>
      </c>
      <c r="AI303">
        <v>9282.9920000000002</v>
      </c>
      <c r="AJ303">
        <v>1.3540920000000001</v>
      </c>
      <c r="AK303">
        <v>1100000000000</v>
      </c>
      <c r="AL303">
        <v>29.01746</v>
      </c>
      <c r="AN303">
        <v>-2.4627129999999999</v>
      </c>
      <c r="AO303">
        <v>53.385309999999997</v>
      </c>
      <c r="AP303">
        <v>63.764879999999998</v>
      </c>
      <c r="AQ303">
        <v>3.9874480000000001</v>
      </c>
      <c r="AR303">
        <v>12.19139</v>
      </c>
      <c r="AS303">
        <v>2.2882310000000001</v>
      </c>
      <c r="AT303">
        <v>1.337629</v>
      </c>
      <c r="AU303">
        <v>0.55502499999999999</v>
      </c>
      <c r="AV303">
        <v>1.337629</v>
      </c>
      <c r="AW303">
        <v>27.729120000000002</v>
      </c>
      <c r="AX303">
        <v>0.30000019999999999</v>
      </c>
      <c r="AY303">
        <v>2.0319199618866102</v>
      </c>
      <c r="AZ303" s="1">
        <v>3.9499998092651402E-2</v>
      </c>
      <c r="BA303" s="1">
        <v>8.2500003278255504E-2</v>
      </c>
      <c r="BB303" s="1">
        <v>0.122000001370907</v>
      </c>
      <c r="BC303" s="1">
        <v>3.56237</v>
      </c>
      <c r="BD303" s="2">
        <v>63.764876610826001</v>
      </c>
      <c r="BE303" s="2">
        <f t="shared" si="8"/>
        <v>2.002369212564993</v>
      </c>
      <c r="BF303" s="2">
        <f t="shared" si="9"/>
        <v>3.0446298723563454</v>
      </c>
      <c r="BG303">
        <v>3598358</v>
      </c>
      <c r="BH303" s="3">
        <v>299793</v>
      </c>
      <c r="BI303">
        <v>9.0885885225848213</v>
      </c>
      <c r="BJ303" s="3">
        <v>2308765</v>
      </c>
      <c r="BK303">
        <v>206132</v>
      </c>
      <c r="BL303">
        <v>9.8035177798503117</v>
      </c>
      <c r="BM303" s="3">
        <v>32786.1</v>
      </c>
      <c r="BN303">
        <v>33341.5</v>
      </c>
      <c r="BO303">
        <v>-6003.1508822470187</v>
      </c>
      <c r="BP303">
        <v>243788270627.73001</v>
      </c>
      <c r="BQ303">
        <v>8451652569.1859741</v>
      </c>
      <c r="BR303">
        <v>3.3506403197673142</v>
      </c>
      <c r="BS303">
        <v>0.2446527</v>
      </c>
      <c r="BT303">
        <v>0.1851149</v>
      </c>
      <c r="BU303">
        <v>5.0801643106850802</v>
      </c>
    </row>
    <row r="304" spans="1:73" x14ac:dyDescent="0.2">
      <c r="A304">
        <v>274</v>
      </c>
      <c r="B304" t="s">
        <v>84</v>
      </c>
      <c r="C304">
        <v>2014</v>
      </c>
      <c r="D304">
        <v>11</v>
      </c>
      <c r="E304">
        <v>0</v>
      </c>
      <c r="F304" t="s">
        <v>85</v>
      </c>
      <c r="G304">
        <v>0.66481000000000001</v>
      </c>
      <c r="H304">
        <v>0</v>
      </c>
      <c r="I304">
        <v>2.5270000000000001</v>
      </c>
      <c r="J304">
        <v>2.6709999999999998</v>
      </c>
      <c r="K304">
        <v>3.5329999999999999</v>
      </c>
      <c r="L304">
        <v>3.6320000000000001</v>
      </c>
      <c r="M304">
        <v>1.222</v>
      </c>
      <c r="N304">
        <v>1.2529999999999999</v>
      </c>
      <c r="O304">
        <v>-0.745</v>
      </c>
      <c r="P304">
        <v>4.3470000000000004</v>
      </c>
      <c r="Q304">
        <v>0</v>
      </c>
      <c r="R304">
        <v>15856</v>
      </c>
      <c r="S304">
        <v>1.544</v>
      </c>
      <c r="T304">
        <v>4.0199999999999996</v>
      </c>
      <c r="U304">
        <v>4.8099999999999996</v>
      </c>
      <c r="V304">
        <v>48.7</v>
      </c>
      <c r="W304" t="s">
        <v>64</v>
      </c>
      <c r="X304" t="s">
        <v>65</v>
      </c>
      <c r="Y304" t="s">
        <v>56</v>
      </c>
      <c r="Z304">
        <v>0.42299999999999999</v>
      </c>
      <c r="AA304">
        <v>0.62</v>
      </c>
      <c r="AB304">
        <v>500</v>
      </c>
      <c r="AC304">
        <v>80.599999999999994</v>
      </c>
      <c r="AE304">
        <v>-99.127600000000001</v>
      </c>
      <c r="AF304">
        <v>19.427</v>
      </c>
      <c r="AG304" t="s">
        <v>57</v>
      </c>
      <c r="AH304" t="s">
        <v>58</v>
      </c>
      <c r="AI304">
        <v>9426.3240000000005</v>
      </c>
      <c r="AJ304">
        <v>2.8497729999999999</v>
      </c>
      <c r="AK304">
        <v>1140000000000</v>
      </c>
      <c r="AL304">
        <v>29.236840000000001</v>
      </c>
      <c r="AN304">
        <v>-1.920277</v>
      </c>
      <c r="AO304">
        <v>52.861229999999999</v>
      </c>
      <c r="AP304">
        <v>64.925359999999998</v>
      </c>
      <c r="AQ304">
        <v>2.1791010000000002</v>
      </c>
      <c r="AR304">
        <v>12.19496</v>
      </c>
      <c r="AS304">
        <v>1.495681</v>
      </c>
      <c r="AT304">
        <v>1.3912819999999999</v>
      </c>
      <c r="AU304">
        <v>0.55502499999999999</v>
      </c>
      <c r="AV304">
        <v>1.3912819999999999</v>
      </c>
      <c r="AW304">
        <v>27.75722</v>
      </c>
      <c r="AX304">
        <v>0.21</v>
      </c>
      <c r="AY304">
        <v>2.0319199618866102</v>
      </c>
      <c r="AZ304" s="1">
        <v>3.9499998092651402E-2</v>
      </c>
      <c r="BA304" s="1">
        <v>8.2500003278255504E-2</v>
      </c>
      <c r="BB304" s="1">
        <v>0.122000001370907</v>
      </c>
      <c r="BC304" s="1">
        <v>3.56237</v>
      </c>
      <c r="BD304" s="2">
        <v>64.925357901862</v>
      </c>
      <c r="BE304" s="2">
        <f t="shared" si="8"/>
        <v>1.1604812910359996</v>
      </c>
      <c r="BF304" s="2">
        <f t="shared" si="9"/>
        <v>1.8199381112563355</v>
      </c>
      <c r="BG304">
        <v>3923567</v>
      </c>
      <c r="BH304" s="3">
        <v>325209</v>
      </c>
      <c r="BI304">
        <v>9.0377055312450842</v>
      </c>
      <c r="BJ304" s="3">
        <v>2625497</v>
      </c>
      <c r="BK304">
        <v>316732</v>
      </c>
      <c r="BL304">
        <v>13.71867643523702</v>
      </c>
      <c r="BM304" s="3">
        <v>23023.5</v>
      </c>
      <c r="BN304">
        <v>9762.5999999999985</v>
      </c>
      <c r="BO304">
        <v>29.776643150603455</v>
      </c>
      <c r="BP304">
        <v>250898263199.05701</v>
      </c>
      <c r="BQ304">
        <v>7109992571.3269958</v>
      </c>
      <c r="BR304">
        <v>2.9164621222421769</v>
      </c>
      <c r="BS304">
        <v>3.5744000000000001E-3</v>
      </c>
      <c r="BT304">
        <v>1.5361039999999999</v>
      </c>
      <c r="BU304">
        <v>3.5440607615709601</v>
      </c>
    </row>
    <row r="305" spans="1:73" x14ac:dyDescent="0.2">
      <c r="A305">
        <v>275</v>
      </c>
      <c r="B305" t="s">
        <v>84</v>
      </c>
      <c r="C305">
        <v>2015</v>
      </c>
      <c r="D305">
        <v>11</v>
      </c>
      <c r="E305">
        <v>1</v>
      </c>
      <c r="F305" t="s">
        <v>85</v>
      </c>
      <c r="G305">
        <v>0.66798999999999997</v>
      </c>
      <c r="H305">
        <v>0</v>
      </c>
      <c r="I305">
        <v>2.3540000000000001</v>
      </c>
      <c r="J305">
        <v>2.42</v>
      </c>
      <c r="K305">
        <v>3.4089999999999998</v>
      </c>
      <c r="L305">
        <v>3.4569999999999999</v>
      </c>
      <c r="M305">
        <v>1.1859999999999999</v>
      </c>
      <c r="N305">
        <v>1.27</v>
      </c>
      <c r="O305">
        <v>-0.55100000000000005</v>
      </c>
      <c r="P305">
        <v>5.3109999999999999</v>
      </c>
      <c r="Q305">
        <v>1</v>
      </c>
      <c r="R305">
        <v>16096</v>
      </c>
      <c r="S305">
        <v>2.0190000000000001</v>
      </c>
      <c r="T305">
        <v>2.72</v>
      </c>
      <c r="U305">
        <v>4.3099999999999996</v>
      </c>
      <c r="W305" t="s">
        <v>64</v>
      </c>
      <c r="X305" t="s">
        <v>65</v>
      </c>
      <c r="Y305" t="s">
        <v>56</v>
      </c>
      <c r="Z305">
        <v>0.41799999999999998</v>
      </c>
      <c r="AA305">
        <v>0.63100000000000001</v>
      </c>
      <c r="AB305">
        <v>500</v>
      </c>
      <c r="AC305">
        <v>80.599999999999994</v>
      </c>
      <c r="AE305">
        <v>-99.127600000000001</v>
      </c>
      <c r="AF305">
        <v>19.427</v>
      </c>
      <c r="AG305" t="s">
        <v>57</v>
      </c>
      <c r="AH305" t="s">
        <v>58</v>
      </c>
      <c r="AI305">
        <v>9616.6460000000006</v>
      </c>
      <c r="AJ305">
        <v>3.2931520000000001</v>
      </c>
      <c r="AK305">
        <v>1170000000000</v>
      </c>
      <c r="AL305">
        <v>31.92032</v>
      </c>
      <c r="AN305">
        <v>-2.6373350000000002</v>
      </c>
      <c r="AO305">
        <v>52.347720000000002</v>
      </c>
      <c r="AP305">
        <v>71.089089999999999</v>
      </c>
      <c r="AQ305">
        <v>3.056521</v>
      </c>
      <c r="AR305">
        <v>12.3172</v>
      </c>
      <c r="AS305">
        <v>0.44337840000000001</v>
      </c>
      <c r="AT305">
        <v>1.000632</v>
      </c>
      <c r="AU305">
        <v>0.30360100000000001</v>
      </c>
      <c r="AV305">
        <v>1.000632</v>
      </c>
      <c r="AW305">
        <v>27.789619999999999</v>
      </c>
      <c r="AX305">
        <v>1.3</v>
      </c>
      <c r="AY305">
        <v>2.18596156900111</v>
      </c>
      <c r="AZ305" s="1">
        <v>8.0499999225139604E-2</v>
      </c>
      <c r="BA305" s="1">
        <v>0.106499999761581</v>
      </c>
      <c r="BB305" s="1">
        <v>0.187000006437302</v>
      </c>
      <c r="BC305" s="1">
        <v>3.994631</v>
      </c>
      <c r="BD305" s="2">
        <v>71.089090113460998</v>
      </c>
      <c r="BE305" s="2">
        <f t="shared" si="8"/>
        <v>6.1637322115989974</v>
      </c>
      <c r="BF305" s="2">
        <f t="shared" si="9"/>
        <v>9.4935667831293173</v>
      </c>
      <c r="BG305">
        <v>4425268</v>
      </c>
      <c r="BH305" s="3">
        <v>501701</v>
      </c>
      <c r="BI305">
        <v>12.786859508197516</v>
      </c>
      <c r="BJ305" s="3">
        <v>2995382</v>
      </c>
      <c r="BK305">
        <v>369885</v>
      </c>
      <c r="BL305">
        <v>14.088189778925667</v>
      </c>
      <c r="BM305" s="3">
        <v>24844.9</v>
      </c>
      <c r="BN305">
        <v>1821.4000000000015</v>
      </c>
      <c r="BO305">
        <v>7.9110474080830517</v>
      </c>
      <c r="BP305">
        <v>262858210470.52399</v>
      </c>
      <c r="BQ305">
        <v>11959947271.46698</v>
      </c>
      <c r="BR305">
        <v>4.7668513599786175</v>
      </c>
      <c r="BS305">
        <v>0.1222343</v>
      </c>
      <c r="BT305">
        <v>0.12756419999999999</v>
      </c>
      <c r="BU305">
        <v>3.4164964122325898</v>
      </c>
    </row>
    <row r="306" spans="1:73" x14ac:dyDescent="0.2">
      <c r="A306">
        <v>276</v>
      </c>
      <c r="B306" t="s">
        <v>84</v>
      </c>
      <c r="C306">
        <v>2016</v>
      </c>
      <c r="D306">
        <v>11</v>
      </c>
      <c r="E306">
        <v>0</v>
      </c>
      <c r="F306" t="s">
        <v>85</v>
      </c>
      <c r="G306">
        <v>0.67118</v>
      </c>
      <c r="H306">
        <v>0</v>
      </c>
      <c r="I306">
        <v>2.3540000000000001</v>
      </c>
      <c r="J306">
        <v>2.42</v>
      </c>
      <c r="K306">
        <v>3.4089999999999998</v>
      </c>
      <c r="L306">
        <v>3.4569999999999999</v>
      </c>
      <c r="M306">
        <v>1.1859999999999999</v>
      </c>
      <c r="N306">
        <v>1.27</v>
      </c>
      <c r="O306">
        <v>-3.2000000000000001E-2</v>
      </c>
      <c r="P306">
        <v>4.758</v>
      </c>
      <c r="Q306">
        <v>0</v>
      </c>
      <c r="R306">
        <v>16133</v>
      </c>
      <c r="S306">
        <v>1.403</v>
      </c>
      <c r="T306">
        <v>2.82</v>
      </c>
      <c r="U306">
        <v>3.86</v>
      </c>
      <c r="V306">
        <v>46.3</v>
      </c>
      <c r="W306" t="s">
        <v>64</v>
      </c>
      <c r="X306" t="s">
        <v>65</v>
      </c>
      <c r="Y306" t="s">
        <v>56</v>
      </c>
      <c r="Z306">
        <v>0.42299999999999999</v>
      </c>
      <c r="AA306">
        <v>0.63500000000000001</v>
      </c>
      <c r="AB306">
        <v>500</v>
      </c>
      <c r="AC306">
        <v>80.599999999999994</v>
      </c>
      <c r="AE306">
        <v>-99.127600000000001</v>
      </c>
      <c r="AF306">
        <v>19.427</v>
      </c>
      <c r="AG306" t="s">
        <v>57</v>
      </c>
      <c r="AH306" t="s">
        <v>58</v>
      </c>
      <c r="AI306">
        <v>9751.5689999999995</v>
      </c>
      <c r="AJ306">
        <v>2.6305329999999998</v>
      </c>
      <c r="AK306">
        <v>1200000000000</v>
      </c>
      <c r="AL306">
        <v>33.981699999999996</v>
      </c>
      <c r="AN306">
        <v>-2.2383160000000002</v>
      </c>
      <c r="AO306">
        <v>51.925370000000001</v>
      </c>
      <c r="AP306">
        <v>76.062209999999993</v>
      </c>
      <c r="AQ306">
        <v>3.6064769999999999</v>
      </c>
      <c r="AR306">
        <v>12.01041</v>
      </c>
      <c r="AS306">
        <v>0.66261910000000002</v>
      </c>
      <c r="AT306">
        <v>1.036737</v>
      </c>
      <c r="AU306">
        <v>1.024E-3</v>
      </c>
      <c r="AV306">
        <v>1.036737</v>
      </c>
      <c r="AW306">
        <v>27.815580000000001</v>
      </c>
      <c r="AX306">
        <v>9.9999900000000003E-2</v>
      </c>
      <c r="AY306">
        <v>2.5980625694775301</v>
      </c>
      <c r="AZ306" s="1">
        <v>8.0499999225139604E-2</v>
      </c>
      <c r="BA306" s="1">
        <v>0.106499999761581</v>
      </c>
      <c r="BB306" s="1">
        <v>0.187000006437302</v>
      </c>
      <c r="BC306" s="1">
        <v>3.994631</v>
      </c>
      <c r="BD306" s="2">
        <v>76.062209137810996</v>
      </c>
      <c r="BE306" s="2">
        <f t="shared" si="8"/>
        <v>4.9731190243499981</v>
      </c>
      <c r="BF306" s="2">
        <f t="shared" si="9"/>
        <v>6.9956149620324348</v>
      </c>
      <c r="BG306">
        <v>4905320</v>
      </c>
      <c r="BH306" s="3">
        <v>480052</v>
      </c>
      <c r="BI306">
        <v>10.847975761016055</v>
      </c>
      <c r="BJ306" s="3">
        <v>3370533</v>
      </c>
      <c r="BK306">
        <v>375151</v>
      </c>
      <c r="BL306">
        <v>12.524312424926103</v>
      </c>
      <c r="BM306" s="3">
        <v>31026.9</v>
      </c>
      <c r="BN306">
        <v>6182</v>
      </c>
      <c r="BO306">
        <v>24.882370224875125</v>
      </c>
      <c r="BP306">
        <v>265029410430.367</v>
      </c>
      <c r="BQ306">
        <v>2171199959.8430176</v>
      </c>
      <c r="BR306">
        <v>0.82599662987756983</v>
      </c>
      <c r="BS306">
        <v>0.30678270000000002</v>
      </c>
      <c r="BT306">
        <v>2.00334E-2</v>
      </c>
      <c r="BU306">
        <v>3.43652994948485</v>
      </c>
    </row>
    <row r="307" spans="1:73" x14ac:dyDescent="0.2">
      <c r="A307">
        <v>277</v>
      </c>
      <c r="B307" t="s">
        <v>84</v>
      </c>
      <c r="C307">
        <v>2017</v>
      </c>
      <c r="D307">
        <v>11</v>
      </c>
      <c r="E307">
        <v>0</v>
      </c>
      <c r="F307" t="s">
        <v>85</v>
      </c>
      <c r="G307">
        <v>0.67437000000000002</v>
      </c>
      <c r="H307">
        <v>0</v>
      </c>
      <c r="I307">
        <v>2.3540000000000001</v>
      </c>
      <c r="J307">
        <v>2.42</v>
      </c>
      <c r="K307">
        <v>3.4089999999999998</v>
      </c>
      <c r="L307">
        <v>3.4569999999999999</v>
      </c>
      <c r="M307">
        <v>1.1859999999999999</v>
      </c>
      <c r="N307">
        <v>1.27</v>
      </c>
      <c r="O307">
        <v>-0.223</v>
      </c>
      <c r="P307">
        <v>5.5410000000000004</v>
      </c>
      <c r="Q307">
        <v>0</v>
      </c>
      <c r="R307">
        <v>16308.6</v>
      </c>
      <c r="S307">
        <v>0.93100000000000005</v>
      </c>
      <c r="T307">
        <v>6.04</v>
      </c>
      <c r="U307">
        <v>3.42</v>
      </c>
      <c r="W307" t="s">
        <v>64</v>
      </c>
      <c r="X307" t="s">
        <v>65</v>
      </c>
      <c r="Y307" t="s">
        <v>56</v>
      </c>
      <c r="Z307">
        <v>0.43</v>
      </c>
      <c r="AA307">
        <v>0.624</v>
      </c>
      <c r="AB307">
        <v>500</v>
      </c>
      <c r="AC307">
        <v>80.599999999999994</v>
      </c>
      <c r="AE307">
        <v>-99.127600000000001</v>
      </c>
      <c r="AF307">
        <v>19.427</v>
      </c>
      <c r="AG307" t="s">
        <v>57</v>
      </c>
      <c r="AH307" t="s">
        <v>58</v>
      </c>
      <c r="AI307">
        <v>9842.4</v>
      </c>
      <c r="AJ307">
        <v>2.1131289999999998</v>
      </c>
      <c r="AK307">
        <v>1230000000000</v>
      </c>
      <c r="AL307">
        <v>35.285769999999999</v>
      </c>
      <c r="AN307">
        <v>-1.7282059999999999</v>
      </c>
      <c r="AO307">
        <v>51.469239999999999</v>
      </c>
      <c r="AP307">
        <v>77.115750000000006</v>
      </c>
      <c r="AQ307">
        <v>2.8669280000000001</v>
      </c>
      <c r="AR307">
        <v>11.6166</v>
      </c>
      <c r="AS307">
        <v>0.51740339999999996</v>
      </c>
      <c r="AT307">
        <v>1.7984039999999999</v>
      </c>
      <c r="AU307">
        <v>4.9729000000000002E-2</v>
      </c>
      <c r="AV307">
        <v>1.7984039999999999</v>
      </c>
      <c r="AW307">
        <v>27.836500000000001</v>
      </c>
      <c r="AX307">
        <v>3.22</v>
      </c>
      <c r="AY307">
        <v>2.44640304907099</v>
      </c>
      <c r="AZ307" s="1">
        <v>8.0499999225139604E-2</v>
      </c>
      <c r="BA307" s="1">
        <v>0.106499999761581</v>
      </c>
      <c r="BB307" s="1">
        <v>0.187000006437302</v>
      </c>
      <c r="BC307" s="1" t="s">
        <v>101</v>
      </c>
      <c r="BD307" s="2">
        <v>77.115744504443001</v>
      </c>
      <c r="BE307" s="2">
        <f t="shared" si="8"/>
        <v>1.0535353666320049</v>
      </c>
      <c r="BF307" s="2">
        <f t="shared" si="9"/>
        <v>1.3850969864984974</v>
      </c>
      <c r="BG307">
        <v>5328907</v>
      </c>
      <c r="BH307" s="3">
        <v>423587</v>
      </c>
      <c r="BI307">
        <v>8.6352572309247915</v>
      </c>
      <c r="BJ307" s="3">
        <v>3686577</v>
      </c>
      <c r="BK307">
        <v>316044</v>
      </c>
      <c r="BL307">
        <v>9.3766772198937076</v>
      </c>
      <c r="BM307" s="3">
        <v>30143</v>
      </c>
      <c r="BN307">
        <v>883.90000000000146</v>
      </c>
      <c r="BO307">
        <v>2.8488182834894928</v>
      </c>
      <c r="BP307">
        <v>261908440017.87701</v>
      </c>
      <c r="BQ307">
        <v>3120970412.4899902</v>
      </c>
      <c r="BR307">
        <v>1.1775939913317599</v>
      </c>
      <c r="BS307">
        <v>0.39381690000000003</v>
      </c>
      <c r="BT307">
        <v>0.212177</v>
      </c>
      <c r="BU307">
        <v>3.2243529271944502</v>
      </c>
    </row>
    <row r="308" spans="1:73" x14ac:dyDescent="0.2">
      <c r="A308">
        <v>278</v>
      </c>
      <c r="B308" t="s">
        <v>84</v>
      </c>
      <c r="C308">
        <v>2018</v>
      </c>
      <c r="D308">
        <v>11</v>
      </c>
      <c r="E308">
        <v>1</v>
      </c>
      <c r="F308" t="s">
        <v>85</v>
      </c>
      <c r="G308">
        <v>0.67754999999999999</v>
      </c>
      <c r="H308">
        <v>0</v>
      </c>
      <c r="I308">
        <v>1.754</v>
      </c>
      <c r="J308">
        <v>1.694</v>
      </c>
      <c r="K308">
        <v>2.9430000000000001</v>
      </c>
      <c r="L308">
        <v>2.8929999999999998</v>
      </c>
      <c r="M308">
        <v>1.0189999999999999</v>
      </c>
      <c r="N308">
        <v>1.0429999999999999</v>
      </c>
      <c r="O308">
        <v>-3.2000000000000001E-2</v>
      </c>
      <c r="P308">
        <v>4.9390000000000001</v>
      </c>
      <c r="Q308">
        <v>1</v>
      </c>
      <c r="R308">
        <v>16494.099999999999</v>
      </c>
      <c r="S308">
        <v>1.05</v>
      </c>
      <c r="T308">
        <v>4.9000000000000004</v>
      </c>
      <c r="U308">
        <v>3.28</v>
      </c>
      <c r="V308">
        <v>45.4</v>
      </c>
      <c r="W308" t="s">
        <v>64</v>
      </c>
      <c r="X308" t="s">
        <v>65</v>
      </c>
      <c r="Y308" t="s">
        <v>56</v>
      </c>
      <c r="Z308">
        <v>0.45300000000000001</v>
      </c>
      <c r="AA308">
        <v>0.67</v>
      </c>
      <c r="AB308">
        <v>500</v>
      </c>
      <c r="AC308">
        <v>80.599999999999994</v>
      </c>
      <c r="AE308">
        <v>-99.127600000000001</v>
      </c>
      <c r="AF308">
        <v>19.427</v>
      </c>
      <c r="AG308" t="s">
        <v>57</v>
      </c>
      <c r="AH308" t="s">
        <v>58</v>
      </c>
      <c r="AI308">
        <v>9945.7759999999998</v>
      </c>
      <c r="AJ308">
        <v>2.194995</v>
      </c>
      <c r="AK308">
        <v>1260000000000</v>
      </c>
      <c r="AL308">
        <v>34.547289999999997</v>
      </c>
      <c r="AN308">
        <v>-1.990038</v>
      </c>
      <c r="AO308">
        <v>51.012999999999998</v>
      </c>
      <c r="AP308">
        <v>80.559389999999993</v>
      </c>
      <c r="AQ308">
        <v>3.096339</v>
      </c>
      <c r="AR308">
        <v>11.57033</v>
      </c>
      <c r="AS308">
        <v>8.1865499999999994E-2</v>
      </c>
      <c r="AT308">
        <v>1.589235</v>
      </c>
      <c r="AU308">
        <v>1.024E-3</v>
      </c>
      <c r="AV308">
        <v>1.589235</v>
      </c>
      <c r="AW308">
        <v>27.85821</v>
      </c>
      <c r="AX308">
        <v>1.1399999999999999</v>
      </c>
      <c r="AY308">
        <v>2.5980625694775301</v>
      </c>
      <c r="AZ308" s="1" t="s">
        <v>101</v>
      </c>
      <c r="BA308" s="1" t="s">
        <v>101</v>
      </c>
      <c r="BB308" s="1" t="s">
        <v>101</v>
      </c>
      <c r="BC308" s="1" t="s">
        <v>101</v>
      </c>
      <c r="BD308" s="2">
        <v>80.559384228778001</v>
      </c>
      <c r="BE308" s="2">
        <f t="shared" si="8"/>
        <v>3.4436397243350001</v>
      </c>
      <c r="BF308" s="2">
        <f t="shared" si="9"/>
        <v>4.4655468821112088</v>
      </c>
      <c r="BG308">
        <v>5807639</v>
      </c>
      <c r="BH308" s="3">
        <v>478732</v>
      </c>
      <c r="BI308">
        <v>8.983680893661683</v>
      </c>
      <c r="BJ308" s="3">
        <v>3948945</v>
      </c>
      <c r="BK308">
        <v>262368</v>
      </c>
      <c r="BL308">
        <v>7.1168457894681163</v>
      </c>
      <c r="BM308" s="3">
        <v>25725.5</v>
      </c>
      <c r="BN308">
        <v>4417.5</v>
      </c>
      <c r="BO308">
        <v>14.655143814484292</v>
      </c>
      <c r="BP308">
        <v>264026588792.134</v>
      </c>
      <c r="BQ308">
        <v>2118148774.2569885</v>
      </c>
      <c r="BR308">
        <v>0.80873635615271144</v>
      </c>
      <c r="BS308">
        <v>4.6268499999999997E-2</v>
      </c>
      <c r="BT308">
        <v>8.1146700000000002E-2</v>
      </c>
      <c r="BU308">
        <v>3.3054996090558899</v>
      </c>
    </row>
    <row r="309" spans="1:73" x14ac:dyDescent="0.2">
      <c r="A309">
        <v>279</v>
      </c>
      <c r="B309" t="s">
        <v>84</v>
      </c>
      <c r="C309">
        <v>2019</v>
      </c>
      <c r="D309">
        <v>11</v>
      </c>
      <c r="E309">
        <v>0</v>
      </c>
      <c r="F309" t="s">
        <v>85</v>
      </c>
      <c r="G309">
        <v>0.68074000000000001</v>
      </c>
      <c r="H309">
        <v>0</v>
      </c>
      <c r="I309">
        <v>1.754</v>
      </c>
      <c r="J309">
        <v>1.694</v>
      </c>
      <c r="K309">
        <v>2.9430000000000001</v>
      </c>
      <c r="L309">
        <v>2.8929999999999998</v>
      </c>
      <c r="M309">
        <v>1.0189999999999999</v>
      </c>
      <c r="N309">
        <v>1.0429999999999999</v>
      </c>
      <c r="O309">
        <v>1.258</v>
      </c>
      <c r="Q309">
        <v>0</v>
      </c>
      <c r="S309">
        <v>-1.139</v>
      </c>
      <c r="T309">
        <v>3.64</v>
      </c>
      <c r="U309">
        <v>3.48</v>
      </c>
      <c r="W309" t="s">
        <v>64</v>
      </c>
      <c r="X309" t="s">
        <v>65</v>
      </c>
      <c r="Y309" t="s">
        <v>56</v>
      </c>
      <c r="Z309">
        <v>0.44</v>
      </c>
      <c r="AA309">
        <v>0.67100000000000004</v>
      </c>
      <c r="AB309">
        <v>500</v>
      </c>
      <c r="AC309">
        <v>80.599999999999994</v>
      </c>
      <c r="AE309">
        <v>-99.127600000000001</v>
      </c>
      <c r="AF309">
        <v>19.427</v>
      </c>
      <c r="AG309" t="s">
        <v>57</v>
      </c>
      <c r="AH309" t="s">
        <v>58</v>
      </c>
      <c r="AI309">
        <v>9819.5329999999994</v>
      </c>
      <c r="AJ309">
        <v>-0.18590680000000001</v>
      </c>
      <c r="AK309">
        <v>1250000000000</v>
      </c>
      <c r="AL309">
        <v>36.558050000000001</v>
      </c>
      <c r="AN309">
        <v>-0.27340219999999998</v>
      </c>
      <c r="AO309">
        <v>50.606450000000002</v>
      </c>
      <c r="AP309">
        <v>77.873260000000002</v>
      </c>
      <c r="AQ309">
        <v>2.3428599999999999</v>
      </c>
      <c r="AR309">
        <v>11.38993</v>
      </c>
      <c r="AS309">
        <v>2.3809019999999999</v>
      </c>
      <c r="AT309">
        <v>1.291984</v>
      </c>
      <c r="AU309">
        <v>1.5825640000000001</v>
      </c>
      <c r="AV309">
        <v>1.291984</v>
      </c>
      <c r="AW309">
        <v>27.856349999999999</v>
      </c>
      <c r="AX309">
        <v>1.26</v>
      </c>
      <c r="AY309">
        <v>3.6223598538986801</v>
      </c>
      <c r="AZ309" s="1" t="s">
        <v>101</v>
      </c>
      <c r="BA309" s="1" t="s">
        <v>101</v>
      </c>
      <c r="BB309" s="1" t="s">
        <v>101</v>
      </c>
      <c r="BC309" s="1" t="s">
        <v>101</v>
      </c>
      <c r="BD309" s="2">
        <v>77.897346950566998</v>
      </c>
      <c r="BE309" s="2">
        <f t="shared" si="8"/>
        <v>2.6620372782110024</v>
      </c>
      <c r="BF309" s="2">
        <f t="shared" si="9"/>
        <v>3.3044409458880279</v>
      </c>
      <c r="BG309">
        <v>6158105</v>
      </c>
      <c r="BH309" s="3">
        <v>350466</v>
      </c>
      <c r="BI309">
        <v>6.0345692974373923</v>
      </c>
      <c r="BJ309" s="3">
        <v>4198641</v>
      </c>
      <c r="BK309">
        <v>249696</v>
      </c>
      <c r="BL309">
        <v>6.3231065512434332</v>
      </c>
      <c r="BM309" s="3">
        <v>23771.8</v>
      </c>
      <c r="BN309">
        <v>1953.7000000000007</v>
      </c>
      <c r="BO309">
        <v>7.5944102155448894</v>
      </c>
      <c r="BP309">
        <v>251527684928.89801</v>
      </c>
      <c r="BQ309">
        <v>12498903863.235992</v>
      </c>
      <c r="BR309">
        <v>4.7339565005236182</v>
      </c>
      <c r="BS309">
        <v>0.1804028</v>
      </c>
      <c r="BT309">
        <v>7.874771</v>
      </c>
      <c r="BU309">
        <v>-4.5692713270701297</v>
      </c>
    </row>
    <row r="310" spans="1:73" x14ac:dyDescent="0.2">
      <c r="A310">
        <v>280</v>
      </c>
      <c r="B310" t="s">
        <v>87</v>
      </c>
      <c r="C310">
        <v>1992</v>
      </c>
      <c r="D310">
        <v>12</v>
      </c>
      <c r="E310">
        <v>0</v>
      </c>
      <c r="F310" t="s">
        <v>88</v>
      </c>
      <c r="G310">
        <v>0.69674999999999998</v>
      </c>
      <c r="H310">
        <v>0</v>
      </c>
      <c r="O310">
        <v>0.66200000000000003</v>
      </c>
      <c r="Q310">
        <v>0</v>
      </c>
      <c r="R310">
        <v>2163.4</v>
      </c>
      <c r="S310">
        <v>-1.843</v>
      </c>
      <c r="W310" t="s">
        <v>54</v>
      </c>
      <c r="X310" t="s">
        <v>55</v>
      </c>
      <c r="Y310" t="s">
        <v>59</v>
      </c>
      <c r="Z310">
        <v>0.48199999999999998</v>
      </c>
      <c r="AA310">
        <v>0.69699999999999995</v>
      </c>
      <c r="AB310">
        <v>90</v>
      </c>
      <c r="AC310">
        <v>10</v>
      </c>
      <c r="AE310">
        <v>-86.273399999999995</v>
      </c>
      <c r="AF310">
        <v>12.147500000000001</v>
      </c>
      <c r="AG310" t="s">
        <v>63</v>
      </c>
      <c r="AH310" t="s">
        <v>83</v>
      </c>
      <c r="AI310">
        <v>1204.8789999999999</v>
      </c>
      <c r="AJ310">
        <v>0.38634649999999998</v>
      </c>
      <c r="AK310">
        <v>5260000000</v>
      </c>
      <c r="AN310">
        <v>-42.893799999999999</v>
      </c>
      <c r="AO310">
        <v>93.117099999999994</v>
      </c>
      <c r="AP310">
        <v>70.517619999999994</v>
      </c>
      <c r="AQ310">
        <v>0.83668010000000004</v>
      </c>
      <c r="AR310">
        <v>19.67202</v>
      </c>
      <c r="AU310">
        <v>0.43824400000000002</v>
      </c>
      <c r="AW310">
        <v>22.383150000000001</v>
      </c>
      <c r="AY310">
        <v>3.1491186279180599</v>
      </c>
      <c r="AZ310" s="1">
        <v>0</v>
      </c>
      <c r="BA310" s="1">
        <v>0</v>
      </c>
      <c r="BB310" s="1">
        <v>0</v>
      </c>
      <c r="BC310" s="1">
        <v>2.0523764999999998</v>
      </c>
      <c r="BD310" s="2">
        <v>34.786208566051002</v>
      </c>
      <c r="BE310" s="2"/>
      <c r="BF310" s="2"/>
      <c r="BH310" s="3"/>
      <c r="BM310" s="3">
        <v>15</v>
      </c>
      <c r="BN310">
        <v>15</v>
      </c>
      <c r="BO310" t="e">
        <v>#DIV/0!</v>
      </c>
      <c r="BP310">
        <v>1008501094.63019</v>
      </c>
      <c r="BQ310">
        <v>152808517.30119097</v>
      </c>
      <c r="BR310">
        <v>17.857875754651864</v>
      </c>
      <c r="BU310">
        <v>-4.9559187155451099</v>
      </c>
    </row>
    <row r="311" spans="1:73" x14ac:dyDescent="0.2">
      <c r="A311">
        <v>281</v>
      </c>
      <c r="B311" t="s">
        <v>87</v>
      </c>
      <c r="C311">
        <v>1993</v>
      </c>
      <c r="D311">
        <v>12</v>
      </c>
      <c r="E311">
        <v>0</v>
      </c>
      <c r="F311" t="s">
        <v>88</v>
      </c>
      <c r="G311">
        <v>0.69674999999999998</v>
      </c>
      <c r="H311">
        <v>0</v>
      </c>
      <c r="O311">
        <v>0.66200000000000003</v>
      </c>
      <c r="Q311">
        <v>0</v>
      </c>
      <c r="R311">
        <v>2114.6999999999998</v>
      </c>
      <c r="S311">
        <v>-2.58</v>
      </c>
      <c r="V311">
        <v>57.4</v>
      </c>
      <c r="W311" t="s">
        <v>54</v>
      </c>
      <c r="X311" t="s">
        <v>55</v>
      </c>
      <c r="Y311" t="s">
        <v>59</v>
      </c>
      <c r="Z311">
        <v>0.49399999999999999</v>
      </c>
      <c r="AA311">
        <v>0.7</v>
      </c>
      <c r="AB311">
        <v>90</v>
      </c>
      <c r="AC311">
        <v>10</v>
      </c>
      <c r="AE311">
        <v>-86.273399999999995</v>
      </c>
      <c r="AF311">
        <v>12.147500000000001</v>
      </c>
      <c r="AG311" t="s">
        <v>63</v>
      </c>
      <c r="AH311" t="s">
        <v>83</v>
      </c>
      <c r="AI311">
        <v>1173.7940000000001</v>
      </c>
      <c r="AJ311">
        <v>-0.3929359</v>
      </c>
      <c r="AK311">
        <v>5240000000</v>
      </c>
      <c r="AN311">
        <v>-34.404539999999997</v>
      </c>
      <c r="AO311">
        <v>91.57047</v>
      </c>
      <c r="AP311">
        <v>68.285960000000003</v>
      </c>
      <c r="AQ311">
        <v>2.208996</v>
      </c>
      <c r="AR311">
        <v>17.588719999999999</v>
      </c>
      <c r="AS311">
        <v>0.77928249999999999</v>
      </c>
      <c r="AU311">
        <v>0.43824400000000002</v>
      </c>
      <c r="AW311">
        <v>22.37922</v>
      </c>
      <c r="AY311">
        <v>3.1491186279180599</v>
      </c>
      <c r="AZ311" s="1">
        <v>0</v>
      </c>
      <c r="BA311" s="1">
        <v>0</v>
      </c>
      <c r="BB311" s="1">
        <v>0</v>
      </c>
      <c r="BC311" s="1">
        <v>2.0523764999999998</v>
      </c>
      <c r="BD311" s="2">
        <v>33.814597755629002</v>
      </c>
      <c r="BE311" s="2">
        <f t="shared" si="8"/>
        <v>0.97161081042199982</v>
      </c>
      <c r="BF311" s="2">
        <f t="shared" si="9"/>
        <v>2.7930920053478507</v>
      </c>
      <c r="BH311" s="3"/>
      <c r="BM311" s="3">
        <v>38.799999999999997</v>
      </c>
      <c r="BN311">
        <v>23.799999999999997</v>
      </c>
      <c r="BO311">
        <v>158.66666666666663</v>
      </c>
      <c r="BP311">
        <v>951136426.13973701</v>
      </c>
      <c r="BQ311">
        <v>57364668.490453005</v>
      </c>
      <c r="BR311">
        <v>5.688111673442279</v>
      </c>
      <c r="BS311">
        <v>2.0832980000000001</v>
      </c>
      <c r="BT311">
        <v>10.938330000000001</v>
      </c>
      <c r="BU311">
        <v>5.9824098519927</v>
      </c>
    </row>
    <row r="312" spans="1:73" x14ac:dyDescent="0.2">
      <c r="A312">
        <v>282</v>
      </c>
      <c r="B312" t="s">
        <v>87</v>
      </c>
      <c r="C312">
        <v>1994</v>
      </c>
      <c r="D312">
        <v>12</v>
      </c>
      <c r="E312">
        <v>0</v>
      </c>
      <c r="F312" t="s">
        <v>88</v>
      </c>
      <c r="G312">
        <v>0.69674999999999998</v>
      </c>
      <c r="H312">
        <v>0</v>
      </c>
      <c r="O312">
        <v>0.66200000000000003</v>
      </c>
      <c r="Q312">
        <v>0</v>
      </c>
      <c r="R312">
        <v>2154.3000000000002</v>
      </c>
      <c r="S312">
        <v>1.1499999999999999</v>
      </c>
      <c r="W312" t="s">
        <v>54</v>
      </c>
      <c r="X312" t="s">
        <v>55</v>
      </c>
      <c r="Y312" t="s">
        <v>59</v>
      </c>
      <c r="Z312">
        <v>0.49299999999999999</v>
      </c>
      <c r="AA312">
        <v>0.70299999999999996</v>
      </c>
      <c r="AB312">
        <v>90</v>
      </c>
      <c r="AC312">
        <v>10</v>
      </c>
      <c r="AE312">
        <v>-86.273399999999995</v>
      </c>
      <c r="AF312">
        <v>12.147500000000001</v>
      </c>
      <c r="AG312" t="s">
        <v>63</v>
      </c>
      <c r="AH312" t="s">
        <v>83</v>
      </c>
      <c r="AI312">
        <v>1187.2929999999999</v>
      </c>
      <c r="AJ312">
        <v>3.337726</v>
      </c>
      <c r="AK312">
        <v>5410000000</v>
      </c>
      <c r="AN312">
        <v>-23.5792</v>
      </c>
      <c r="AO312">
        <v>89.831249999999997</v>
      </c>
      <c r="AP312">
        <v>39.081209999999999</v>
      </c>
      <c r="AQ312">
        <v>1.208847</v>
      </c>
      <c r="AR312">
        <v>7.4909660000000002</v>
      </c>
      <c r="AS312">
        <v>3.7306620000000001</v>
      </c>
      <c r="AU312">
        <v>0.43824400000000002</v>
      </c>
      <c r="AW312">
        <v>22.412050000000001</v>
      </c>
      <c r="AY312">
        <v>3.1491186279180599</v>
      </c>
      <c r="AZ312" s="1">
        <v>0</v>
      </c>
      <c r="BA312" s="1">
        <v>0</v>
      </c>
      <c r="BB312" s="1">
        <v>0</v>
      </c>
      <c r="BC312" s="1">
        <v>2.0523764999999998</v>
      </c>
      <c r="BD312" s="2">
        <v>39.081215937705998</v>
      </c>
      <c r="BE312" s="2">
        <f t="shared" si="8"/>
        <v>5.2666181820769964</v>
      </c>
      <c r="BF312" s="2">
        <f t="shared" si="9"/>
        <v>15.574983976262974</v>
      </c>
      <c r="BH312" s="3"/>
      <c r="BM312" s="3">
        <v>46.7</v>
      </c>
      <c r="BN312">
        <v>7.9000000000000057</v>
      </c>
      <c r="BO312">
        <v>20.360824742268058</v>
      </c>
      <c r="BP312">
        <v>1100888772.5393901</v>
      </c>
      <c r="BQ312">
        <v>149752346.39965308</v>
      </c>
      <c r="BR312">
        <v>15.744570629834346</v>
      </c>
      <c r="BS312">
        <v>10.097759999999999</v>
      </c>
      <c r="BT312">
        <v>2.6776209999999998</v>
      </c>
      <c r="BU312">
        <v>3.30478867496804</v>
      </c>
    </row>
    <row r="313" spans="1:73" x14ac:dyDescent="0.2">
      <c r="A313">
        <v>283</v>
      </c>
      <c r="B313" t="s">
        <v>87</v>
      </c>
      <c r="C313">
        <v>1995</v>
      </c>
      <c r="D313">
        <v>12</v>
      </c>
      <c r="E313">
        <v>0</v>
      </c>
      <c r="F313" t="s">
        <v>88</v>
      </c>
      <c r="G313">
        <v>0.69674999999999998</v>
      </c>
      <c r="H313">
        <v>0</v>
      </c>
      <c r="O313">
        <v>0.66200000000000003</v>
      </c>
      <c r="Q313">
        <v>0</v>
      </c>
      <c r="R313">
        <v>2264.1</v>
      </c>
      <c r="S313">
        <v>3.7909999999999999</v>
      </c>
      <c r="W313" t="s">
        <v>54</v>
      </c>
      <c r="X313" t="s">
        <v>55</v>
      </c>
      <c r="Y313" t="s">
        <v>59</v>
      </c>
      <c r="Z313">
        <v>0.498</v>
      </c>
      <c r="AA313">
        <v>0.70299999999999996</v>
      </c>
      <c r="AB313">
        <v>90</v>
      </c>
      <c r="AC313">
        <v>10</v>
      </c>
      <c r="AE313">
        <v>-86.273399999999995</v>
      </c>
      <c r="AF313">
        <v>12.147500000000001</v>
      </c>
      <c r="AG313" t="s">
        <v>63</v>
      </c>
      <c r="AH313" t="s">
        <v>83</v>
      </c>
      <c r="AI313">
        <v>1232.3</v>
      </c>
      <c r="AJ313">
        <v>5.9119080000000004</v>
      </c>
      <c r="AK313">
        <v>5730000000</v>
      </c>
      <c r="AN313">
        <v>-17.449210000000001</v>
      </c>
      <c r="AO313">
        <v>87.837969999999999</v>
      </c>
      <c r="AP313">
        <v>44.039790000000004</v>
      </c>
      <c r="AQ313">
        <v>2.1470989999999999</v>
      </c>
      <c r="AR313">
        <v>7.5165800000000003</v>
      </c>
      <c r="AS313">
        <v>2.574182</v>
      </c>
      <c r="AU313">
        <v>0.43824400000000002</v>
      </c>
      <c r="AW313">
        <v>22.469480000000001</v>
      </c>
      <c r="AY313">
        <v>3.1491186279180599</v>
      </c>
      <c r="AZ313" s="1">
        <v>0</v>
      </c>
      <c r="BA313" s="1">
        <v>0</v>
      </c>
      <c r="BB313" s="1">
        <v>0</v>
      </c>
      <c r="BC313" s="1">
        <v>2.0523764999999998</v>
      </c>
      <c r="BD313" s="2">
        <v>44.039794241026001</v>
      </c>
      <c r="BE313" s="2">
        <f t="shared" si="8"/>
        <v>4.958578303320003</v>
      </c>
      <c r="BF313" s="2">
        <f t="shared" si="9"/>
        <v>12.687881337222956</v>
      </c>
      <c r="BH313" s="3"/>
      <c r="BM313" s="3">
        <v>88.9</v>
      </c>
      <c r="BN313">
        <v>42.2</v>
      </c>
      <c r="BO313">
        <v>90.364025695931474</v>
      </c>
      <c r="BP313">
        <v>1157967053.0362999</v>
      </c>
      <c r="BQ313">
        <v>57078280.496909857</v>
      </c>
      <c r="BR313">
        <v>5.1847454457409849</v>
      </c>
      <c r="BS313">
        <v>2.56143E-2</v>
      </c>
      <c r="BT313">
        <v>2.5442399999999998</v>
      </c>
      <c r="BU313">
        <v>0.76054823977764796</v>
      </c>
    </row>
    <row r="314" spans="1:73" x14ac:dyDescent="0.2">
      <c r="A314">
        <v>284</v>
      </c>
      <c r="B314" t="s">
        <v>87</v>
      </c>
      <c r="C314">
        <v>1996</v>
      </c>
      <c r="D314">
        <v>12</v>
      </c>
      <c r="E314">
        <v>0</v>
      </c>
      <c r="F314" t="s">
        <v>88</v>
      </c>
      <c r="G314">
        <v>0.69674999999999998</v>
      </c>
      <c r="H314">
        <v>0</v>
      </c>
      <c r="O314">
        <v>0.66200000000000003</v>
      </c>
      <c r="P314">
        <v>5.7450000000000001</v>
      </c>
      <c r="Q314">
        <v>1</v>
      </c>
      <c r="R314">
        <v>2395.1999999999998</v>
      </c>
      <c r="S314">
        <v>4.3390000000000004</v>
      </c>
      <c r="W314" t="s">
        <v>54</v>
      </c>
      <c r="X314" t="s">
        <v>55</v>
      </c>
      <c r="Y314" t="s">
        <v>59</v>
      </c>
      <c r="Z314">
        <v>0.46500000000000002</v>
      </c>
      <c r="AA314">
        <v>0.69099999999999995</v>
      </c>
      <c r="AB314">
        <v>90</v>
      </c>
      <c r="AC314">
        <v>7.6</v>
      </c>
      <c r="AE314">
        <v>-86.273399999999995</v>
      </c>
      <c r="AF314">
        <v>12.147500000000001</v>
      </c>
      <c r="AG314" t="s">
        <v>63</v>
      </c>
      <c r="AH314" t="s">
        <v>83</v>
      </c>
      <c r="AI314">
        <v>1285.7750000000001</v>
      </c>
      <c r="AJ314">
        <v>6.3442679999999996</v>
      </c>
      <c r="AK314">
        <v>6100000000</v>
      </c>
      <c r="AN314">
        <v>-19.143560000000001</v>
      </c>
      <c r="AO314">
        <v>85.799400000000006</v>
      </c>
      <c r="AP314">
        <v>48.482840000000003</v>
      </c>
      <c r="AQ314">
        <v>2.785288</v>
      </c>
      <c r="AR314">
        <v>7.3450790000000001</v>
      </c>
      <c r="AS314">
        <v>0.43236019999999997</v>
      </c>
      <c r="AU314">
        <v>0.43824400000000002</v>
      </c>
      <c r="AW314">
        <v>22.530999999999999</v>
      </c>
      <c r="AY314">
        <v>3.1491186279180599</v>
      </c>
      <c r="AZ314" s="1">
        <v>0.60899996757507302</v>
      </c>
      <c r="BA314" s="1">
        <v>2.3000000044703501E-2</v>
      </c>
      <c r="BB314" s="1">
        <v>0.63199996948242199</v>
      </c>
      <c r="BC314" s="1">
        <v>2.7945074999999999</v>
      </c>
      <c r="BD314" s="2">
        <v>48.482837743527</v>
      </c>
      <c r="BE314" s="2">
        <f t="shared" si="8"/>
        <v>4.4430435025009984</v>
      </c>
      <c r="BF314" s="2">
        <f t="shared" si="9"/>
        <v>10.088701773184052</v>
      </c>
      <c r="BH314" s="3"/>
      <c r="BM314" s="3">
        <v>120</v>
      </c>
      <c r="BN314">
        <v>31.099999999999994</v>
      </c>
      <c r="BO314">
        <v>34.983127109111351</v>
      </c>
      <c r="BP314">
        <v>1302481803.76458</v>
      </c>
      <c r="BQ314">
        <v>144514750.72828007</v>
      </c>
      <c r="BR314">
        <v>12.480039941494763</v>
      </c>
      <c r="BS314">
        <v>0.17150070000000001</v>
      </c>
      <c r="BT314">
        <v>1.072006</v>
      </c>
      <c r="BU314">
        <v>-0.31145729371030501</v>
      </c>
    </row>
    <row r="315" spans="1:73" x14ac:dyDescent="0.2">
      <c r="A315">
        <v>285</v>
      </c>
      <c r="B315" t="s">
        <v>87</v>
      </c>
      <c r="C315">
        <v>1997</v>
      </c>
      <c r="D315">
        <v>12</v>
      </c>
      <c r="E315">
        <v>1</v>
      </c>
      <c r="F315" t="s">
        <v>88</v>
      </c>
      <c r="G315">
        <v>0.69674999999999998</v>
      </c>
      <c r="H315">
        <v>0</v>
      </c>
      <c r="I315">
        <v>2.6190000000000002</v>
      </c>
      <c r="J315">
        <v>2.6779999999999999</v>
      </c>
      <c r="K315">
        <v>3.5960000000000001</v>
      </c>
      <c r="L315">
        <v>3.637</v>
      </c>
      <c r="M315">
        <v>1.4610000000000001</v>
      </c>
      <c r="N315">
        <v>1.494</v>
      </c>
      <c r="O315">
        <v>0.66200000000000003</v>
      </c>
      <c r="P315">
        <v>4.6440000000000001</v>
      </c>
      <c r="Q315">
        <v>0</v>
      </c>
      <c r="R315">
        <v>2482.6999999999998</v>
      </c>
      <c r="S315">
        <v>2.113</v>
      </c>
      <c r="W315" t="s">
        <v>54</v>
      </c>
      <c r="X315" t="s">
        <v>55</v>
      </c>
      <c r="Y315" t="s">
        <v>59</v>
      </c>
      <c r="Z315">
        <v>0.42299999999999999</v>
      </c>
      <c r="AA315">
        <v>0.64800000000000002</v>
      </c>
      <c r="AB315">
        <v>90</v>
      </c>
      <c r="AC315">
        <v>7.6</v>
      </c>
      <c r="AE315">
        <v>-86.273399999999995</v>
      </c>
      <c r="AF315">
        <v>12.147500000000001</v>
      </c>
      <c r="AG315" t="s">
        <v>63</v>
      </c>
      <c r="AH315" t="s">
        <v>83</v>
      </c>
      <c r="AI315">
        <v>1312.94</v>
      </c>
      <c r="AJ315">
        <v>3.9666510000000001</v>
      </c>
      <c r="AK315">
        <v>6340000000</v>
      </c>
      <c r="AN315">
        <v>-19.151990000000001</v>
      </c>
      <c r="AO315">
        <v>83.540210000000002</v>
      </c>
      <c r="AP315">
        <v>58.00553</v>
      </c>
      <c r="AQ315">
        <v>4.6332940000000002</v>
      </c>
      <c r="AR315">
        <v>6.9152430000000003</v>
      </c>
      <c r="AS315">
        <v>2.3776169999999999</v>
      </c>
      <c r="AU315">
        <v>0.43824400000000002</v>
      </c>
      <c r="AW315">
        <v>22.569900000000001</v>
      </c>
      <c r="AY315">
        <v>3.1491186279180599</v>
      </c>
      <c r="AZ315" s="1">
        <v>0.60899996757507302</v>
      </c>
      <c r="BA315" s="1">
        <v>2.3000000044703501E-2</v>
      </c>
      <c r="BB315" s="1">
        <v>0.63199996948242199</v>
      </c>
      <c r="BC315" s="1">
        <v>2.7945074999999999</v>
      </c>
      <c r="BD315" s="2">
        <v>58.005529971481003</v>
      </c>
      <c r="BE315" s="2">
        <f t="shared" si="8"/>
        <v>9.5226922279540034</v>
      </c>
      <c r="BF315" s="2">
        <f t="shared" si="9"/>
        <v>19.64136727789905</v>
      </c>
      <c r="BH315" s="3"/>
      <c r="BM315" s="3">
        <v>203.4</v>
      </c>
      <c r="BN315">
        <v>83.4</v>
      </c>
      <c r="BO315">
        <v>69.5</v>
      </c>
      <c r="BP315">
        <v>1457357268.4100599</v>
      </c>
      <c r="BQ315">
        <v>154875464.64547992</v>
      </c>
      <c r="BR315">
        <v>11.890796800219501</v>
      </c>
      <c r="BS315">
        <v>0.4298363</v>
      </c>
      <c r="BT315">
        <v>2.2835800000000002</v>
      </c>
      <c r="BU315">
        <v>1.97212244458349</v>
      </c>
    </row>
    <row r="316" spans="1:73" x14ac:dyDescent="0.2">
      <c r="A316">
        <v>286</v>
      </c>
      <c r="B316" t="s">
        <v>87</v>
      </c>
      <c r="C316">
        <v>1998</v>
      </c>
      <c r="D316">
        <v>12</v>
      </c>
      <c r="E316">
        <v>0</v>
      </c>
      <c r="F316" t="s">
        <v>88</v>
      </c>
      <c r="G316">
        <v>0.69674999999999998</v>
      </c>
      <c r="H316">
        <v>0</v>
      </c>
      <c r="I316">
        <v>2.6190000000000002</v>
      </c>
      <c r="J316">
        <v>2.6779999999999999</v>
      </c>
      <c r="K316">
        <v>3.5960000000000001</v>
      </c>
      <c r="L316">
        <v>3.637</v>
      </c>
      <c r="M316">
        <v>1.4610000000000001</v>
      </c>
      <c r="N316">
        <v>1.494</v>
      </c>
      <c r="O316">
        <v>0.66200000000000003</v>
      </c>
      <c r="P316">
        <v>5.1589999999999998</v>
      </c>
      <c r="Q316">
        <v>0</v>
      </c>
      <c r="R316">
        <v>2569.8000000000002</v>
      </c>
      <c r="S316">
        <v>1.9590000000000001</v>
      </c>
      <c r="V316">
        <v>54.4</v>
      </c>
      <c r="W316" t="s">
        <v>54</v>
      </c>
      <c r="X316" t="s">
        <v>55</v>
      </c>
      <c r="Y316" t="s">
        <v>59</v>
      </c>
      <c r="Z316">
        <v>0.42299999999999999</v>
      </c>
      <c r="AA316">
        <v>0.64800000000000002</v>
      </c>
      <c r="AB316">
        <v>90</v>
      </c>
      <c r="AC316">
        <v>7.6</v>
      </c>
      <c r="AE316">
        <v>-86.273399999999995</v>
      </c>
      <c r="AF316">
        <v>12.147500000000001</v>
      </c>
      <c r="AG316" t="s">
        <v>63</v>
      </c>
      <c r="AH316" t="s">
        <v>83</v>
      </c>
      <c r="AI316">
        <v>1338.662</v>
      </c>
      <c r="AJ316">
        <v>3.711681</v>
      </c>
      <c r="AK316">
        <v>6570000000</v>
      </c>
      <c r="AN316">
        <v>-14.8133</v>
      </c>
      <c r="AO316">
        <v>81.187920000000005</v>
      </c>
      <c r="AP316">
        <v>57.013710000000003</v>
      </c>
      <c r="AQ316">
        <v>4.7073879999999999</v>
      </c>
      <c r="AR316">
        <v>7.1262990000000004</v>
      </c>
      <c r="AS316">
        <v>0.25496960000000002</v>
      </c>
      <c r="AU316">
        <v>0.43824400000000002</v>
      </c>
      <c r="AW316">
        <v>22.606339999999999</v>
      </c>
      <c r="AY316">
        <v>3.1491186279180599</v>
      </c>
      <c r="AZ316" s="1">
        <v>0.60899996757507302</v>
      </c>
      <c r="BA316" s="1">
        <v>2.3000000044703501E-2</v>
      </c>
      <c r="BB316" s="1">
        <v>0.63199996948242199</v>
      </c>
      <c r="BC316" s="1">
        <v>2.7945074999999999</v>
      </c>
      <c r="BD316" s="2">
        <v>57.013714556290999</v>
      </c>
      <c r="BE316" s="2">
        <f t="shared" si="8"/>
        <v>0.99181541519000405</v>
      </c>
      <c r="BF316" s="2">
        <f t="shared" si="9"/>
        <v>1.70986355210898</v>
      </c>
      <c r="BH316" s="3"/>
      <c r="BM316" s="3">
        <v>218.2</v>
      </c>
      <c r="BN316">
        <v>14.799999999999983</v>
      </c>
      <c r="BO316">
        <v>7.2763028515240817</v>
      </c>
      <c r="BP316">
        <v>1557607356.7309101</v>
      </c>
      <c r="BQ316">
        <v>100250088.32085013</v>
      </c>
      <c r="BR316">
        <v>6.878895826980056</v>
      </c>
      <c r="BS316">
        <v>0.2110562</v>
      </c>
      <c r="BT316">
        <v>2.3395839999999999</v>
      </c>
      <c r="BU316">
        <v>4.3117065197075801</v>
      </c>
    </row>
    <row r="317" spans="1:73" x14ac:dyDescent="0.2">
      <c r="A317">
        <v>287</v>
      </c>
      <c r="B317" t="s">
        <v>87</v>
      </c>
      <c r="C317">
        <v>1999</v>
      </c>
      <c r="D317">
        <v>12</v>
      </c>
      <c r="E317">
        <v>0</v>
      </c>
      <c r="F317" t="s">
        <v>88</v>
      </c>
      <c r="G317">
        <v>0.72175</v>
      </c>
      <c r="H317">
        <v>0</v>
      </c>
      <c r="I317">
        <v>2.6190000000000002</v>
      </c>
      <c r="J317">
        <v>2.6779999999999999</v>
      </c>
      <c r="K317">
        <v>3.5960000000000001</v>
      </c>
      <c r="L317">
        <v>3.637</v>
      </c>
      <c r="M317">
        <v>1.4610000000000001</v>
      </c>
      <c r="N317">
        <v>1.494</v>
      </c>
      <c r="O317">
        <v>0.66200000000000003</v>
      </c>
      <c r="P317">
        <v>5.1589999999999998</v>
      </c>
      <c r="Q317">
        <v>0</v>
      </c>
      <c r="R317">
        <v>2748.1</v>
      </c>
      <c r="S317">
        <v>5.3120000000000003</v>
      </c>
      <c r="W317" t="s">
        <v>54</v>
      </c>
      <c r="X317" t="s">
        <v>55</v>
      </c>
      <c r="Y317" t="s">
        <v>59</v>
      </c>
      <c r="Z317">
        <v>0.39400000000000002</v>
      </c>
      <c r="AA317">
        <v>0.60599999999999998</v>
      </c>
      <c r="AB317">
        <v>90</v>
      </c>
      <c r="AC317">
        <v>7.6</v>
      </c>
      <c r="AE317">
        <v>-86.273399999999995</v>
      </c>
      <c r="AF317">
        <v>12.147500000000001</v>
      </c>
      <c r="AG317" t="s">
        <v>63</v>
      </c>
      <c r="AH317" t="s">
        <v>83</v>
      </c>
      <c r="AI317">
        <v>1409.768</v>
      </c>
      <c r="AJ317">
        <v>7.035971</v>
      </c>
      <c r="AK317">
        <v>7040000000</v>
      </c>
      <c r="AN317">
        <v>-19.11927</v>
      </c>
      <c r="AO317">
        <v>78.923580000000001</v>
      </c>
      <c r="AP317">
        <v>62.537640000000003</v>
      </c>
      <c r="AQ317">
        <v>6.9464499999999996</v>
      </c>
      <c r="AR317">
        <v>8.2278110000000009</v>
      </c>
      <c r="AS317">
        <v>3.3242889999999998</v>
      </c>
      <c r="AU317">
        <v>0.43824400000000002</v>
      </c>
      <c r="AW317">
        <v>22.674340000000001</v>
      </c>
      <c r="AY317">
        <v>3.1491186279180599</v>
      </c>
      <c r="AZ317" s="1">
        <v>0.60899996757507302</v>
      </c>
      <c r="BA317" s="1">
        <v>2.3000000044703501E-2</v>
      </c>
      <c r="BB317" s="1">
        <v>0.63199996948242199</v>
      </c>
      <c r="BC317" s="1">
        <v>2.7945074999999999</v>
      </c>
      <c r="BD317" s="2">
        <v>62.537643937635004</v>
      </c>
      <c r="BE317" s="2">
        <f t="shared" si="8"/>
        <v>5.5239293813440042</v>
      </c>
      <c r="BF317" s="2">
        <f t="shared" si="9"/>
        <v>9.6887729984512703</v>
      </c>
      <c r="BH317" s="3"/>
      <c r="BM317" s="3">
        <v>337.3</v>
      </c>
      <c r="BN317">
        <v>119.10000000000002</v>
      </c>
      <c r="BO317">
        <v>54.582951420714949</v>
      </c>
      <c r="BP317">
        <v>2119767982.54427</v>
      </c>
      <c r="BQ317">
        <v>562160625.81335998</v>
      </c>
      <c r="BR317">
        <v>36.091292416159156</v>
      </c>
      <c r="BS317">
        <v>1.1015109999999999</v>
      </c>
      <c r="BT317">
        <v>0.87689589999999995</v>
      </c>
      <c r="BU317">
        <v>5.1886024281932803</v>
      </c>
    </row>
    <row r="318" spans="1:73" x14ac:dyDescent="0.2">
      <c r="A318">
        <v>288</v>
      </c>
      <c r="B318" t="s">
        <v>87</v>
      </c>
      <c r="C318">
        <v>2000</v>
      </c>
      <c r="D318">
        <v>12</v>
      </c>
      <c r="E318">
        <v>0</v>
      </c>
      <c r="F318" t="s">
        <v>88</v>
      </c>
      <c r="G318">
        <v>0.72175</v>
      </c>
      <c r="H318">
        <v>0</v>
      </c>
      <c r="I318">
        <v>2.6190000000000002</v>
      </c>
      <c r="J318">
        <v>2.6779999999999999</v>
      </c>
      <c r="K318">
        <v>3.5960000000000001</v>
      </c>
      <c r="L318">
        <v>3.637</v>
      </c>
      <c r="M318">
        <v>1.4610000000000001</v>
      </c>
      <c r="N318">
        <v>1.494</v>
      </c>
      <c r="O318">
        <v>-0.22700000000000001</v>
      </c>
      <c r="P318">
        <v>6.0220000000000002</v>
      </c>
      <c r="Q318">
        <v>0</v>
      </c>
      <c r="R318">
        <v>2858.5</v>
      </c>
      <c r="S318">
        <v>2.4940000000000002</v>
      </c>
      <c r="T318">
        <v>7.07</v>
      </c>
      <c r="W318" t="s">
        <v>54</v>
      </c>
      <c r="X318" t="s">
        <v>55</v>
      </c>
      <c r="Y318" t="s">
        <v>59</v>
      </c>
      <c r="Z318">
        <v>0.39500000000000002</v>
      </c>
      <c r="AA318">
        <v>0.60399999999999998</v>
      </c>
      <c r="AB318">
        <v>90</v>
      </c>
      <c r="AC318">
        <v>7.6</v>
      </c>
      <c r="AE318">
        <v>-86.273399999999995</v>
      </c>
      <c r="AF318">
        <v>12.147500000000001</v>
      </c>
      <c r="AG318" t="s">
        <v>63</v>
      </c>
      <c r="AH318" t="s">
        <v>83</v>
      </c>
      <c r="AI318">
        <v>1444.932</v>
      </c>
      <c r="AJ318">
        <v>4.1015899999999998</v>
      </c>
      <c r="AK318">
        <v>7330000000</v>
      </c>
      <c r="AN318">
        <v>-18.320730000000001</v>
      </c>
      <c r="AO318">
        <v>76.830269999999999</v>
      </c>
      <c r="AP318">
        <v>61.298499999999997</v>
      </c>
      <c r="AQ318">
        <v>5.2179919999999997</v>
      </c>
      <c r="AR318">
        <v>8.6767140000000005</v>
      </c>
      <c r="AS318">
        <v>2.9343810000000001</v>
      </c>
      <c r="AT318">
        <v>1.9558599999999999</v>
      </c>
      <c r="AU318">
        <v>5.1528999999999998E-2</v>
      </c>
      <c r="AV318">
        <v>1.9558599999999999</v>
      </c>
      <c r="AW318">
        <v>22.71453</v>
      </c>
      <c r="AY318">
        <v>2.4432269334603798</v>
      </c>
      <c r="AZ318" s="1">
        <v>0.60899996757507302</v>
      </c>
      <c r="BA318" s="1">
        <v>2.3000000044703501E-2</v>
      </c>
      <c r="BB318" s="1">
        <v>0.63199996948242199</v>
      </c>
      <c r="BC318" s="1">
        <v>2.7945074999999999</v>
      </c>
      <c r="BD318" s="2">
        <v>61.298496654108</v>
      </c>
      <c r="BE318" s="2">
        <f t="shared" si="8"/>
        <v>1.2391472835270037</v>
      </c>
      <c r="BF318" s="2">
        <f t="shared" si="9"/>
        <v>1.9814422250424562</v>
      </c>
      <c r="BH318" s="3"/>
      <c r="BM318" s="3">
        <v>266.5</v>
      </c>
      <c r="BN318">
        <v>70.800000000000011</v>
      </c>
      <c r="BO318">
        <v>20.990216424547882</v>
      </c>
      <c r="BP318">
        <v>1885059581.8870599</v>
      </c>
      <c r="BQ318">
        <v>234708400.65721011</v>
      </c>
      <c r="BR318">
        <v>11.072362758092956</v>
      </c>
      <c r="BS318">
        <v>0.4489031</v>
      </c>
      <c r="BT318">
        <v>3.3306809999999998</v>
      </c>
      <c r="BU318">
        <v>1.85792165853445</v>
      </c>
    </row>
    <row r="319" spans="1:73" x14ac:dyDescent="0.2">
      <c r="A319">
        <v>289</v>
      </c>
      <c r="B319" t="s">
        <v>87</v>
      </c>
      <c r="C319">
        <v>2001</v>
      </c>
      <c r="D319">
        <v>12</v>
      </c>
      <c r="E319">
        <v>0</v>
      </c>
      <c r="F319" t="s">
        <v>88</v>
      </c>
      <c r="G319">
        <v>0.72175</v>
      </c>
      <c r="H319">
        <v>0</v>
      </c>
      <c r="I319">
        <v>2.6190000000000002</v>
      </c>
      <c r="J319">
        <v>2.6779999999999999</v>
      </c>
      <c r="K319">
        <v>3.5960000000000001</v>
      </c>
      <c r="L319">
        <v>3.637</v>
      </c>
      <c r="M319">
        <v>1.4610000000000001</v>
      </c>
      <c r="N319">
        <v>1.494</v>
      </c>
      <c r="O319">
        <v>-0.22700000000000001</v>
      </c>
      <c r="P319">
        <v>5.5039999999999996</v>
      </c>
      <c r="Q319">
        <v>1</v>
      </c>
      <c r="R319">
        <v>2944.2</v>
      </c>
      <c r="S319">
        <v>1.4390000000000001</v>
      </c>
      <c r="T319">
        <v>5.99</v>
      </c>
      <c r="U319">
        <v>4.12</v>
      </c>
      <c r="V319">
        <v>52.9</v>
      </c>
      <c r="W319" t="s">
        <v>54</v>
      </c>
      <c r="X319" t="s">
        <v>55</v>
      </c>
      <c r="Y319" t="s">
        <v>59</v>
      </c>
      <c r="Z319">
        <v>0.38800000000000001</v>
      </c>
      <c r="AA319">
        <v>0.60699999999999998</v>
      </c>
      <c r="AB319">
        <v>90</v>
      </c>
      <c r="AC319">
        <v>7.6</v>
      </c>
      <c r="AE319">
        <v>-86.273399999999995</v>
      </c>
      <c r="AF319">
        <v>12.147500000000001</v>
      </c>
      <c r="AG319" t="s">
        <v>63</v>
      </c>
      <c r="AH319" t="s">
        <v>83</v>
      </c>
      <c r="AI319">
        <v>1465.723</v>
      </c>
      <c r="AJ319">
        <v>2.9608430000000001</v>
      </c>
      <c r="AK319">
        <v>7540000000</v>
      </c>
      <c r="AL319">
        <v>13.717840000000001</v>
      </c>
      <c r="AN319">
        <v>-15.41006</v>
      </c>
      <c r="AO319">
        <v>74.651660000000007</v>
      </c>
      <c r="AP319">
        <v>57.980130000000003</v>
      </c>
      <c r="AQ319">
        <v>2.8216389999999998</v>
      </c>
      <c r="AR319">
        <v>8.9626079999999995</v>
      </c>
      <c r="AS319">
        <v>1.140747</v>
      </c>
      <c r="AT319">
        <v>1.7900910000000001</v>
      </c>
      <c r="AU319">
        <v>5.1528999999999998E-2</v>
      </c>
      <c r="AV319">
        <v>1.7900910000000001</v>
      </c>
      <c r="AW319">
        <v>22.74371</v>
      </c>
      <c r="AX319">
        <v>1.08</v>
      </c>
      <c r="AY319">
        <v>2.4432269334603798</v>
      </c>
      <c r="AZ319" s="1">
        <v>0.60549998283386197</v>
      </c>
      <c r="BA319" s="1">
        <v>2.7499999850988398E-2</v>
      </c>
      <c r="BB319" s="1">
        <v>0.63299995660781905</v>
      </c>
      <c r="BC319" s="1">
        <v>2.0837026000000001</v>
      </c>
      <c r="BD319" s="2">
        <v>57.980130817179997</v>
      </c>
      <c r="BE319" s="2">
        <f t="shared" si="8"/>
        <v>3.3183658369280025</v>
      </c>
      <c r="BF319" s="2">
        <f t="shared" si="9"/>
        <v>5.4134538660102969</v>
      </c>
      <c r="BH319" s="3"/>
      <c r="BJ319" s="3">
        <v>3076</v>
      </c>
      <c r="BM319" s="3">
        <v>150.19999999999999</v>
      </c>
      <c r="BN319">
        <v>116.30000000000001</v>
      </c>
      <c r="BO319">
        <v>43.639774859287058</v>
      </c>
      <c r="BP319">
        <v>1782717374.5206201</v>
      </c>
      <c r="BQ319">
        <v>102342207.36643982</v>
      </c>
      <c r="BR319">
        <v>5.4291232144497528</v>
      </c>
      <c r="BS319">
        <v>0.28589439999999999</v>
      </c>
      <c r="BT319">
        <v>1.147006</v>
      </c>
      <c r="BU319">
        <v>0.71091577813497497</v>
      </c>
    </row>
    <row r="320" spans="1:73" x14ac:dyDescent="0.2">
      <c r="A320">
        <v>290</v>
      </c>
      <c r="B320" t="s">
        <v>87</v>
      </c>
      <c r="C320">
        <v>2002</v>
      </c>
      <c r="D320">
        <v>12</v>
      </c>
      <c r="E320">
        <v>1</v>
      </c>
      <c r="F320" t="s">
        <v>88</v>
      </c>
      <c r="G320">
        <v>0.72175</v>
      </c>
      <c r="H320">
        <v>0</v>
      </c>
      <c r="I320">
        <v>6.2880000000000003</v>
      </c>
      <c r="J320">
        <v>6.1669999999999998</v>
      </c>
      <c r="K320">
        <v>5.5720000000000001</v>
      </c>
      <c r="L320">
        <v>5.5190000000000001</v>
      </c>
      <c r="M320">
        <v>2.431</v>
      </c>
      <c r="N320">
        <v>2.3849999999999998</v>
      </c>
      <c r="O320">
        <v>0.66</v>
      </c>
      <c r="P320">
        <v>6.0529999999999999</v>
      </c>
      <c r="Q320">
        <v>0</v>
      </c>
      <c r="R320">
        <v>2969.5</v>
      </c>
      <c r="S320">
        <v>-0.67400000000000004</v>
      </c>
      <c r="T320">
        <v>3.75</v>
      </c>
      <c r="W320" t="s">
        <v>54</v>
      </c>
      <c r="X320" t="s">
        <v>55</v>
      </c>
      <c r="Y320" t="s">
        <v>59</v>
      </c>
      <c r="Z320">
        <v>0.39900000000000002</v>
      </c>
      <c r="AA320">
        <v>0.63</v>
      </c>
      <c r="AB320">
        <v>90</v>
      </c>
      <c r="AC320">
        <v>7.6</v>
      </c>
      <c r="AE320">
        <v>-86.273399999999995</v>
      </c>
      <c r="AF320">
        <v>12.147500000000001</v>
      </c>
      <c r="AG320" t="s">
        <v>63</v>
      </c>
      <c r="AH320" t="s">
        <v>83</v>
      </c>
      <c r="AI320">
        <v>1455.848</v>
      </c>
      <c r="AJ320">
        <v>0.75393889999999997</v>
      </c>
      <c r="AK320">
        <v>7600000000</v>
      </c>
      <c r="AL320">
        <v>15.1304</v>
      </c>
      <c r="AN320">
        <v>-15.00896</v>
      </c>
      <c r="AO320">
        <v>72.71669</v>
      </c>
      <c r="AP320">
        <v>58.091290000000001</v>
      </c>
      <c r="AQ320">
        <v>3.9029799999999999</v>
      </c>
      <c r="AR320">
        <v>8.7450270000000003</v>
      </c>
      <c r="AS320">
        <v>2.2069040000000002</v>
      </c>
      <c r="AT320">
        <v>1.3217559999999999</v>
      </c>
      <c r="AU320">
        <v>0.43559999999999999</v>
      </c>
      <c r="AV320">
        <v>1.3217559999999999</v>
      </c>
      <c r="AW320">
        <v>22.75122</v>
      </c>
      <c r="AX320">
        <v>2.2400000000000002</v>
      </c>
      <c r="AY320">
        <v>3.1475305701127501</v>
      </c>
      <c r="AZ320" s="1">
        <v>0.60549998283386197</v>
      </c>
      <c r="BA320" s="1">
        <v>2.7499999850988398E-2</v>
      </c>
      <c r="BB320" s="1">
        <v>0.63299995660781905</v>
      </c>
      <c r="BC320" s="1">
        <v>2.0837026000000001</v>
      </c>
      <c r="BD320" s="2">
        <v>58.091283693233002</v>
      </c>
      <c r="BE320" s="2">
        <f t="shared" si="8"/>
        <v>0.11115287605300495</v>
      </c>
      <c r="BF320" s="2">
        <f t="shared" si="9"/>
        <v>0.19170856375520529</v>
      </c>
      <c r="BG320">
        <v>3137</v>
      </c>
      <c r="BH320" s="3">
        <v>61</v>
      </c>
      <c r="BI320">
        <v>1.9830949284785435</v>
      </c>
      <c r="BJ320" s="3">
        <v>3137</v>
      </c>
      <c r="BK320">
        <v>61</v>
      </c>
      <c r="BL320">
        <v>1.9830949284785435</v>
      </c>
      <c r="BM320" s="3">
        <v>203.9</v>
      </c>
      <c r="BN320">
        <v>53.700000000000017</v>
      </c>
      <c r="BO320">
        <v>35.752330226364862</v>
      </c>
      <c r="BP320">
        <v>1670820218.4912701</v>
      </c>
      <c r="BQ320">
        <v>111897156.02935004</v>
      </c>
      <c r="BR320">
        <v>6.2767748622767332</v>
      </c>
      <c r="BS320">
        <v>0.21758169999999999</v>
      </c>
      <c r="BT320">
        <v>2.0672419999999998</v>
      </c>
      <c r="BU320">
        <v>-1.3563265801878399</v>
      </c>
    </row>
    <row r="321" spans="1:73" x14ac:dyDescent="0.2">
      <c r="A321">
        <v>291</v>
      </c>
      <c r="B321" t="s">
        <v>87</v>
      </c>
      <c r="C321">
        <v>2003</v>
      </c>
      <c r="D321">
        <v>12</v>
      </c>
      <c r="E321">
        <v>0</v>
      </c>
      <c r="F321" t="s">
        <v>88</v>
      </c>
      <c r="G321">
        <v>0.72175</v>
      </c>
      <c r="H321">
        <v>0</v>
      </c>
      <c r="I321">
        <v>6.2880000000000003</v>
      </c>
      <c r="J321">
        <v>6.1669999999999998</v>
      </c>
      <c r="K321">
        <v>5.5720000000000001</v>
      </c>
      <c r="L321">
        <v>5.5190000000000001</v>
      </c>
      <c r="M321">
        <v>2.431</v>
      </c>
      <c r="N321">
        <v>2.3849999999999998</v>
      </c>
      <c r="O321">
        <v>0.66</v>
      </c>
      <c r="P321">
        <v>5.7450000000000001</v>
      </c>
      <c r="Q321">
        <v>0</v>
      </c>
      <c r="R321">
        <v>3049.2</v>
      </c>
      <c r="S321">
        <v>1.111</v>
      </c>
      <c r="T321">
        <v>5.3</v>
      </c>
      <c r="U321">
        <v>7.6</v>
      </c>
      <c r="W321" t="s">
        <v>54</v>
      </c>
      <c r="X321" t="s">
        <v>55</v>
      </c>
      <c r="Y321" t="s">
        <v>59</v>
      </c>
      <c r="Z321">
        <v>0.39800000000000002</v>
      </c>
      <c r="AA321">
        <v>0.625</v>
      </c>
      <c r="AB321">
        <v>90</v>
      </c>
      <c r="AC321">
        <v>7.6</v>
      </c>
      <c r="AE321">
        <v>-86.273399999999995</v>
      </c>
      <c r="AF321">
        <v>12.147500000000001</v>
      </c>
      <c r="AG321" t="s">
        <v>63</v>
      </c>
      <c r="AH321" t="s">
        <v>83</v>
      </c>
      <c r="AI321">
        <v>1472.0170000000001</v>
      </c>
      <c r="AJ321">
        <v>2.5207329999999999</v>
      </c>
      <c r="AK321">
        <v>7790000000</v>
      </c>
      <c r="AL321">
        <v>17.68</v>
      </c>
      <c r="AN321">
        <v>-13.25516</v>
      </c>
      <c r="AO321">
        <v>70.967470000000006</v>
      </c>
      <c r="AP321">
        <v>62.175060000000002</v>
      </c>
      <c r="AQ321">
        <v>3.782089</v>
      </c>
      <c r="AR321">
        <v>9.1846969999999999</v>
      </c>
      <c r="AS321">
        <v>1.766794</v>
      </c>
      <c r="AT321">
        <v>1.6677070000000001</v>
      </c>
      <c r="AU321">
        <v>0.43559999999999999</v>
      </c>
      <c r="AV321">
        <v>1.6677070000000001</v>
      </c>
      <c r="AW321">
        <v>22.776119999999999</v>
      </c>
      <c r="AX321">
        <v>1.55</v>
      </c>
      <c r="AY321">
        <v>3.1475305701127501</v>
      </c>
      <c r="AZ321" s="1">
        <v>0.60549998283386197</v>
      </c>
      <c r="BA321" s="1">
        <v>2.7499999850988398E-2</v>
      </c>
      <c r="BB321" s="1">
        <v>0.63299995660781905</v>
      </c>
      <c r="BC321" s="1">
        <v>2.0837026000000001</v>
      </c>
      <c r="BD321" s="2">
        <v>62.175065167492001</v>
      </c>
      <c r="BE321" s="2">
        <f t="shared" si="8"/>
        <v>4.0837814742589984</v>
      </c>
      <c r="BF321" s="2">
        <f t="shared" si="9"/>
        <v>7.0299384255726372</v>
      </c>
      <c r="BG321">
        <v>3811</v>
      </c>
      <c r="BH321" s="3">
        <v>674</v>
      </c>
      <c r="BI321">
        <v>21.485495696525344</v>
      </c>
      <c r="BJ321" s="3">
        <v>3811</v>
      </c>
      <c r="BK321">
        <v>674</v>
      </c>
      <c r="BL321">
        <v>21.485495696525344</v>
      </c>
      <c r="BM321" s="3">
        <v>201.3</v>
      </c>
      <c r="BN321">
        <v>2.5999999999999943</v>
      </c>
      <c r="BO321">
        <v>1.2751348700343277</v>
      </c>
      <c r="BP321">
        <v>1680780921.0912499</v>
      </c>
      <c r="BQ321">
        <v>9960702.5999798775</v>
      </c>
      <c r="BR321">
        <v>0.59615645595755773</v>
      </c>
      <c r="BS321">
        <v>0.43967060000000002</v>
      </c>
      <c r="BT321">
        <v>1.652234</v>
      </c>
      <c r="BU321">
        <v>0.29590782176669</v>
      </c>
    </row>
    <row r="322" spans="1:73" x14ac:dyDescent="0.2">
      <c r="A322">
        <v>292</v>
      </c>
      <c r="B322" t="s">
        <v>87</v>
      </c>
      <c r="C322">
        <v>2004</v>
      </c>
      <c r="D322">
        <v>12</v>
      </c>
      <c r="E322">
        <v>0</v>
      </c>
      <c r="F322" t="s">
        <v>88</v>
      </c>
      <c r="G322">
        <v>0.72175</v>
      </c>
      <c r="H322">
        <v>0</v>
      </c>
      <c r="I322">
        <v>6.2880000000000003</v>
      </c>
      <c r="J322">
        <v>6.1669999999999998</v>
      </c>
      <c r="K322">
        <v>5.5720000000000001</v>
      </c>
      <c r="L322">
        <v>5.5190000000000001</v>
      </c>
      <c r="M322">
        <v>2.431</v>
      </c>
      <c r="N322">
        <v>2.3849999999999998</v>
      </c>
      <c r="O322">
        <v>0.66</v>
      </c>
      <c r="P322">
        <v>6.2119999999999997</v>
      </c>
      <c r="Q322">
        <v>0</v>
      </c>
      <c r="R322">
        <v>3220.3</v>
      </c>
      <c r="S322">
        <v>3.883</v>
      </c>
      <c r="T322">
        <v>8.4700000000000006</v>
      </c>
      <c r="U322">
        <v>6.41</v>
      </c>
      <c r="W322" t="s">
        <v>54</v>
      </c>
      <c r="X322" t="s">
        <v>55</v>
      </c>
      <c r="Y322" t="s">
        <v>59</v>
      </c>
      <c r="Z322">
        <v>0.4</v>
      </c>
      <c r="AA322">
        <v>0.625</v>
      </c>
      <c r="AB322">
        <v>90</v>
      </c>
      <c r="AC322">
        <v>7.6</v>
      </c>
      <c r="AE322">
        <v>-86.273399999999995</v>
      </c>
      <c r="AF322">
        <v>12.147500000000001</v>
      </c>
      <c r="AG322" t="s">
        <v>63</v>
      </c>
      <c r="AH322" t="s">
        <v>83</v>
      </c>
      <c r="AI322">
        <v>1529.173</v>
      </c>
      <c r="AJ322">
        <v>5.3121710000000002</v>
      </c>
      <c r="AK322">
        <v>8200000000</v>
      </c>
      <c r="AL322">
        <v>19.639500000000002</v>
      </c>
      <c r="AN322">
        <v>-11.86079</v>
      </c>
      <c r="AO322">
        <v>69.321619999999996</v>
      </c>
      <c r="AP322">
        <v>67.195319999999995</v>
      </c>
      <c r="AQ322">
        <v>4.3136409999999996</v>
      </c>
      <c r="AR322">
        <v>9.0841329999999996</v>
      </c>
      <c r="AS322">
        <v>2.7914379999999999</v>
      </c>
      <c r="AT322">
        <v>2.1365310000000002</v>
      </c>
      <c r="AU322">
        <v>0.43559999999999999</v>
      </c>
      <c r="AV322">
        <v>2.1365310000000002</v>
      </c>
      <c r="AW322">
        <v>22.82788</v>
      </c>
      <c r="AX322">
        <v>3.17</v>
      </c>
      <c r="AY322">
        <v>3.1475305701127501</v>
      </c>
      <c r="AZ322" s="1">
        <v>0.60549998283386197</v>
      </c>
      <c r="BA322" s="1">
        <v>2.7499999850988398E-2</v>
      </c>
      <c r="BB322" s="1">
        <v>0.63299995660781905</v>
      </c>
      <c r="BC322" s="1">
        <v>2.0837026000000001</v>
      </c>
      <c r="BD322" s="2">
        <v>67.195316122974006</v>
      </c>
      <c r="BE322" s="2">
        <f t="shared" si="8"/>
        <v>5.0202509554820054</v>
      </c>
      <c r="BF322" s="2">
        <f t="shared" si="9"/>
        <v>8.0743798851807629</v>
      </c>
      <c r="BG322">
        <v>4845</v>
      </c>
      <c r="BH322" s="3">
        <v>1034</v>
      </c>
      <c r="BI322">
        <v>27.131986355287324</v>
      </c>
      <c r="BJ322" s="3">
        <v>4845</v>
      </c>
      <c r="BK322">
        <v>1034</v>
      </c>
      <c r="BL322">
        <v>27.131986355287324</v>
      </c>
      <c r="BM322" s="3">
        <v>250</v>
      </c>
      <c r="BN322">
        <v>48.699999999999989</v>
      </c>
      <c r="BO322">
        <v>24.192747143566809</v>
      </c>
      <c r="BP322">
        <v>1793911205.78352</v>
      </c>
      <c r="BQ322">
        <v>113130284.69227004</v>
      </c>
      <c r="BR322">
        <v>6.7308168050134709</v>
      </c>
      <c r="BS322">
        <v>0.100564</v>
      </c>
      <c r="BT322">
        <v>1.965762</v>
      </c>
      <c r="BU322">
        <v>2.26167034851809</v>
      </c>
    </row>
    <row r="323" spans="1:73" x14ac:dyDescent="0.2">
      <c r="A323">
        <v>293</v>
      </c>
      <c r="B323" t="s">
        <v>87</v>
      </c>
      <c r="C323">
        <v>2005</v>
      </c>
      <c r="D323">
        <v>12</v>
      </c>
      <c r="E323">
        <v>0</v>
      </c>
      <c r="F323" t="s">
        <v>88</v>
      </c>
      <c r="G323">
        <v>0.72175</v>
      </c>
      <c r="H323">
        <v>0</v>
      </c>
      <c r="I323">
        <v>6.2880000000000003</v>
      </c>
      <c r="J323">
        <v>6.1669999999999998</v>
      </c>
      <c r="K323">
        <v>5.5720000000000001</v>
      </c>
      <c r="L323">
        <v>5.5190000000000001</v>
      </c>
      <c r="M323">
        <v>2.431</v>
      </c>
      <c r="N323">
        <v>2.3849999999999998</v>
      </c>
      <c r="O323">
        <v>0.66</v>
      </c>
      <c r="P323">
        <v>6.2149999999999999</v>
      </c>
      <c r="Q323">
        <v>0</v>
      </c>
      <c r="R323">
        <v>3370.8</v>
      </c>
      <c r="S323">
        <v>2.8679999999999999</v>
      </c>
      <c r="T323">
        <v>9.6</v>
      </c>
      <c r="U323">
        <v>5.37</v>
      </c>
      <c r="V323">
        <v>48.8</v>
      </c>
      <c r="W323" t="s">
        <v>54</v>
      </c>
      <c r="X323" t="s">
        <v>55</v>
      </c>
      <c r="Y323" t="s">
        <v>59</v>
      </c>
      <c r="Z323">
        <v>0.4</v>
      </c>
      <c r="AA323">
        <v>0.625</v>
      </c>
      <c r="AB323">
        <v>90</v>
      </c>
      <c r="AC323">
        <v>7.6</v>
      </c>
      <c r="AE323">
        <v>-86.273399999999995</v>
      </c>
      <c r="AF323">
        <v>12.147500000000001</v>
      </c>
      <c r="AG323" t="s">
        <v>63</v>
      </c>
      <c r="AH323" t="s">
        <v>83</v>
      </c>
      <c r="AI323">
        <v>1573.0309999999999</v>
      </c>
      <c r="AJ323">
        <v>4.2823979999999997</v>
      </c>
      <c r="AK323">
        <v>8560000000</v>
      </c>
      <c r="AL323">
        <v>22.61956</v>
      </c>
      <c r="AN323">
        <v>-12.39564</v>
      </c>
      <c r="AO323">
        <v>67.749759999999995</v>
      </c>
      <c r="AP323">
        <v>71.645719999999997</v>
      </c>
      <c r="AQ323">
        <v>3.8140670000000001</v>
      </c>
      <c r="AR323">
        <v>9.428153</v>
      </c>
      <c r="AS323">
        <v>1.0297719999999999</v>
      </c>
      <c r="AT323">
        <v>2.2617630000000002</v>
      </c>
      <c r="AU323">
        <v>0.43559999999999999</v>
      </c>
      <c r="AV323">
        <v>2.2617630000000002</v>
      </c>
      <c r="AW323">
        <v>22.869810000000001</v>
      </c>
      <c r="AX323">
        <v>1.1299999999999999</v>
      </c>
      <c r="AY323">
        <v>3.1475305701127501</v>
      </c>
      <c r="AZ323" s="1">
        <v>0.60549998283386197</v>
      </c>
      <c r="BA323" s="1">
        <v>2.7499999850988398E-2</v>
      </c>
      <c r="BB323" s="1">
        <v>0.63299995660781905</v>
      </c>
      <c r="BC323" s="1">
        <v>2.0837026000000001</v>
      </c>
      <c r="BD323" s="2">
        <v>71.645722896254</v>
      </c>
      <c r="BE323" s="2">
        <f t="shared" si="8"/>
        <v>4.4504067732799939</v>
      </c>
      <c r="BF323" s="2">
        <f t="shared" si="9"/>
        <v>6.6230907599799274</v>
      </c>
      <c r="BG323">
        <v>5799</v>
      </c>
      <c r="BH323" s="3">
        <v>954</v>
      </c>
      <c r="BI323">
        <v>19.690402476780186</v>
      </c>
      <c r="BJ323" s="3">
        <v>5799</v>
      </c>
      <c r="BK323">
        <v>954</v>
      </c>
      <c r="BL323">
        <v>19.690402476780186</v>
      </c>
      <c r="BM323" s="3">
        <v>241.1</v>
      </c>
      <c r="BN323">
        <v>8.9000000000000057</v>
      </c>
      <c r="BO323">
        <v>3.5600000000000023</v>
      </c>
      <c r="BP323">
        <v>1972145849.5221601</v>
      </c>
      <c r="BQ323">
        <v>178234643.73864007</v>
      </c>
      <c r="BR323">
        <v>9.9355332172526989</v>
      </c>
      <c r="BS323">
        <v>0.34401989999999999</v>
      </c>
      <c r="BT323">
        <v>3.277272</v>
      </c>
      <c r="BU323">
        <v>5.5389424885173799</v>
      </c>
    </row>
    <row r="324" spans="1:73" x14ac:dyDescent="0.2">
      <c r="A324">
        <v>294</v>
      </c>
      <c r="B324" t="s">
        <v>87</v>
      </c>
      <c r="C324">
        <v>2006</v>
      </c>
      <c r="D324">
        <v>12</v>
      </c>
      <c r="E324">
        <v>0</v>
      </c>
      <c r="F324" t="s">
        <v>88</v>
      </c>
      <c r="G324">
        <v>0.72175</v>
      </c>
      <c r="H324">
        <v>0</v>
      </c>
      <c r="I324">
        <v>6.2880000000000003</v>
      </c>
      <c r="J324">
        <v>6.1669999999999998</v>
      </c>
      <c r="K324">
        <v>5.5720000000000001</v>
      </c>
      <c r="L324">
        <v>5.5190000000000001</v>
      </c>
      <c r="M324">
        <v>2.431</v>
      </c>
      <c r="N324">
        <v>2.3849999999999998</v>
      </c>
      <c r="O324">
        <v>0.66</v>
      </c>
      <c r="P324">
        <v>6.3730000000000002</v>
      </c>
      <c r="Q324">
        <v>1</v>
      </c>
      <c r="R324">
        <v>3525.6</v>
      </c>
      <c r="S324">
        <v>2.734</v>
      </c>
      <c r="T324">
        <v>9.14</v>
      </c>
      <c r="U324">
        <v>5.31</v>
      </c>
      <c r="W324" t="s">
        <v>54</v>
      </c>
      <c r="X324" t="s">
        <v>55</v>
      </c>
      <c r="Y324" t="s">
        <v>59</v>
      </c>
      <c r="Z324">
        <v>0.35599999999999998</v>
      </c>
      <c r="AA324">
        <v>0.60499999999999998</v>
      </c>
      <c r="AB324">
        <v>90</v>
      </c>
      <c r="AC324">
        <v>7.6</v>
      </c>
      <c r="AE324">
        <v>-86.273399999999995</v>
      </c>
      <c r="AF324">
        <v>12.147500000000001</v>
      </c>
      <c r="AG324" t="s">
        <v>63</v>
      </c>
      <c r="AH324" t="s">
        <v>83</v>
      </c>
      <c r="AI324">
        <v>1616.057</v>
      </c>
      <c r="AJ324">
        <v>4.1532</v>
      </c>
      <c r="AK324">
        <v>8910000000</v>
      </c>
      <c r="AL324">
        <v>26.46189</v>
      </c>
      <c r="AN324">
        <v>-13.080769999999999</v>
      </c>
      <c r="AO324">
        <v>66.154589999999999</v>
      </c>
      <c r="AP324">
        <v>87.31035</v>
      </c>
      <c r="AQ324">
        <v>4.2404950000000001</v>
      </c>
      <c r="AR324">
        <v>15.16615</v>
      </c>
      <c r="AS324">
        <v>0.1291986</v>
      </c>
      <c r="AT324">
        <v>2.2126600000000001</v>
      </c>
      <c r="AU324">
        <v>0.43559999999999999</v>
      </c>
      <c r="AV324">
        <v>2.2126600000000001</v>
      </c>
      <c r="AW324">
        <v>22.910499999999999</v>
      </c>
      <c r="AX324">
        <v>0.46</v>
      </c>
      <c r="AY324">
        <v>3.1475305701127501</v>
      </c>
      <c r="AZ324" s="1">
        <v>0.20000000298023199</v>
      </c>
      <c r="BA324" s="1">
        <v>0.152999997138977</v>
      </c>
      <c r="BB324" s="1">
        <v>0.35299998521804798</v>
      </c>
      <c r="BC324" s="1">
        <v>2.0837026000000001</v>
      </c>
      <c r="BD324" s="2">
        <v>87.309670840869998</v>
      </c>
      <c r="BE324" s="2">
        <f t="shared" ref="BE324:BE387" si="10">ABS(BD324-BD323)</f>
        <v>15.663947944615998</v>
      </c>
      <c r="BF324" s="2">
        <f t="shared" ref="BF324:BF387" si="11">100*ABS(BD324-BD323)/BD323</f>
        <v>21.863060782146128</v>
      </c>
      <c r="BG324">
        <v>6648</v>
      </c>
      <c r="BH324" s="3">
        <v>849</v>
      </c>
      <c r="BI324">
        <v>14.640455250905328</v>
      </c>
      <c r="BJ324" s="3">
        <v>6648</v>
      </c>
      <c r="BK324">
        <v>849</v>
      </c>
      <c r="BL324">
        <v>14.640455250905328</v>
      </c>
      <c r="BM324" s="3">
        <v>265.8</v>
      </c>
      <c r="BN324">
        <v>24.700000000000017</v>
      </c>
      <c r="BO324">
        <v>10.244711737868112</v>
      </c>
      <c r="BP324">
        <v>2009500313.99439</v>
      </c>
      <c r="BQ324">
        <v>37354464.472229958</v>
      </c>
      <c r="BR324">
        <v>1.8941025320860896</v>
      </c>
      <c r="BS324">
        <v>5.7379990000000003</v>
      </c>
      <c r="BT324">
        <v>0.30678270000000002</v>
      </c>
      <c r="BU324">
        <v>5.2321594361281099</v>
      </c>
    </row>
    <row r="325" spans="1:73" x14ac:dyDescent="0.2">
      <c r="A325">
        <v>295</v>
      </c>
      <c r="B325" t="s">
        <v>87</v>
      </c>
      <c r="C325">
        <v>2007</v>
      </c>
      <c r="D325">
        <v>12</v>
      </c>
      <c r="E325">
        <v>1</v>
      </c>
      <c r="F325" t="s">
        <v>88</v>
      </c>
      <c r="G325">
        <v>0.72175</v>
      </c>
      <c r="H325">
        <v>0</v>
      </c>
      <c r="I325">
        <v>4.4160000000000004</v>
      </c>
      <c r="J325">
        <v>4.4870000000000001</v>
      </c>
      <c r="K325">
        <v>4.67</v>
      </c>
      <c r="L325">
        <v>4.7069999999999999</v>
      </c>
      <c r="M325">
        <v>2.0619999999999998</v>
      </c>
      <c r="N325">
        <v>2.0539999999999998</v>
      </c>
      <c r="O325">
        <v>0.66</v>
      </c>
      <c r="P325">
        <v>5.8529999999999998</v>
      </c>
      <c r="Q325">
        <v>0</v>
      </c>
      <c r="R325">
        <v>3729.9</v>
      </c>
      <c r="S325">
        <v>3.6419999999999999</v>
      </c>
      <c r="T325">
        <v>11.13</v>
      </c>
      <c r="U325">
        <v>4.8899999999999997</v>
      </c>
      <c r="W325" t="s">
        <v>54</v>
      </c>
      <c r="X325" t="s">
        <v>55</v>
      </c>
      <c r="Y325" t="s">
        <v>59</v>
      </c>
      <c r="Z325">
        <v>0.24299999999999999</v>
      </c>
      <c r="AA325">
        <v>0.49199999999999999</v>
      </c>
      <c r="AB325">
        <v>90</v>
      </c>
      <c r="AC325">
        <v>7.6</v>
      </c>
      <c r="AE325">
        <v>-86.273399999999995</v>
      </c>
      <c r="AF325">
        <v>12.147500000000001</v>
      </c>
      <c r="AG325" t="s">
        <v>63</v>
      </c>
      <c r="AH325" t="s">
        <v>83</v>
      </c>
      <c r="AI325">
        <v>1674.9190000000001</v>
      </c>
      <c r="AJ325">
        <v>5.076702</v>
      </c>
      <c r="AK325">
        <v>9360000000</v>
      </c>
      <c r="AL325">
        <v>32.962960000000002</v>
      </c>
      <c r="AN325">
        <v>-16.25958</v>
      </c>
      <c r="AO325">
        <v>64.670389999999998</v>
      </c>
      <c r="AP325">
        <v>93.025869999999998</v>
      </c>
      <c r="AQ325">
        <v>5.1419090000000001</v>
      </c>
      <c r="AR325">
        <v>14.018359999999999</v>
      </c>
      <c r="AS325">
        <v>0.92350200000000005</v>
      </c>
      <c r="AT325">
        <v>2.4096440000000001</v>
      </c>
      <c r="AU325">
        <v>0.43559999999999999</v>
      </c>
      <c r="AV325">
        <v>2.4096440000000001</v>
      </c>
      <c r="AW325">
        <v>22.96002</v>
      </c>
      <c r="AX325">
        <v>1.99</v>
      </c>
      <c r="AY325">
        <v>3.1475305701127501</v>
      </c>
      <c r="AZ325" s="1">
        <v>0.20000000298023199</v>
      </c>
      <c r="BA325" s="1">
        <v>0.152999997138977</v>
      </c>
      <c r="BB325" s="1">
        <v>0.35299998521804798</v>
      </c>
      <c r="BC325" s="1">
        <v>3.278079</v>
      </c>
      <c r="BD325" s="2">
        <v>93.025730262080998</v>
      </c>
      <c r="BE325" s="2">
        <f t="shared" si="10"/>
        <v>5.7160594212109999</v>
      </c>
      <c r="BF325" s="2">
        <f t="shared" si="11"/>
        <v>6.5468800490945052</v>
      </c>
      <c r="BG325">
        <v>8797</v>
      </c>
      <c r="BH325" s="3">
        <v>2149</v>
      </c>
      <c r="BI325">
        <v>32.325511432009627</v>
      </c>
      <c r="BJ325" s="3">
        <v>8797</v>
      </c>
      <c r="BK325">
        <v>2149</v>
      </c>
      <c r="BL325">
        <v>32.325511432009627</v>
      </c>
      <c r="BM325" s="3">
        <v>366.4</v>
      </c>
      <c r="BN325">
        <v>100.59999999999997</v>
      </c>
      <c r="BO325">
        <v>37.848006019563563</v>
      </c>
      <c r="BP325">
        <v>2262953306.3603802</v>
      </c>
      <c r="BQ325">
        <v>253452992.36599016</v>
      </c>
      <c r="BR325">
        <v>12.61273713673566</v>
      </c>
      <c r="BS325">
        <v>1.1477949999999999</v>
      </c>
      <c r="BT325">
        <v>1.451719</v>
      </c>
      <c r="BU325">
        <v>6.6838788204383697</v>
      </c>
    </row>
    <row r="326" spans="1:73" x14ac:dyDescent="0.2">
      <c r="A326">
        <v>296</v>
      </c>
      <c r="B326" t="s">
        <v>87</v>
      </c>
      <c r="C326">
        <v>2008</v>
      </c>
      <c r="D326">
        <v>12</v>
      </c>
      <c r="E326">
        <v>0</v>
      </c>
      <c r="F326" t="s">
        <v>88</v>
      </c>
      <c r="G326">
        <v>0.72175</v>
      </c>
      <c r="H326">
        <v>0</v>
      </c>
      <c r="I326">
        <v>4.4160000000000004</v>
      </c>
      <c r="J326">
        <v>4.4870000000000001</v>
      </c>
      <c r="K326">
        <v>4.67</v>
      </c>
      <c r="L326">
        <v>4.7069999999999999</v>
      </c>
      <c r="M326">
        <v>2.0619999999999998</v>
      </c>
      <c r="N326">
        <v>2.0539999999999998</v>
      </c>
      <c r="O326">
        <v>0.66</v>
      </c>
      <c r="P326">
        <v>5.9880000000000004</v>
      </c>
      <c r="Q326">
        <v>0</v>
      </c>
      <c r="R326">
        <v>3856.6</v>
      </c>
      <c r="S326">
        <v>2.0230000000000001</v>
      </c>
      <c r="T326">
        <v>19.829999999999998</v>
      </c>
      <c r="U326">
        <v>6.2</v>
      </c>
      <c r="W326" t="s">
        <v>54</v>
      </c>
      <c r="X326" t="s">
        <v>55</v>
      </c>
      <c r="Y326" t="s">
        <v>59</v>
      </c>
      <c r="Z326">
        <v>0.221</v>
      </c>
      <c r="AA326">
        <v>0.46800000000000003</v>
      </c>
      <c r="AB326">
        <v>90</v>
      </c>
      <c r="AC326">
        <v>7.6</v>
      </c>
      <c r="AE326">
        <v>-86.273399999999995</v>
      </c>
      <c r="AF326">
        <v>12.147500000000001</v>
      </c>
      <c r="AG326" t="s">
        <v>63</v>
      </c>
      <c r="AH326" t="s">
        <v>83</v>
      </c>
      <c r="AI326">
        <v>1708.8240000000001</v>
      </c>
      <c r="AJ326">
        <v>3.4363739999999998</v>
      </c>
      <c r="AK326">
        <v>9690000000</v>
      </c>
      <c r="AL326">
        <v>31.390370000000001</v>
      </c>
      <c r="AN326">
        <v>-17.068490000000001</v>
      </c>
      <c r="AO326">
        <v>63.295459999999999</v>
      </c>
      <c r="AP326">
        <v>96.794079999999994</v>
      </c>
      <c r="AQ326">
        <v>7.3826520000000002</v>
      </c>
      <c r="AR326">
        <v>13.838229999999999</v>
      </c>
      <c r="AS326">
        <v>1.640328</v>
      </c>
      <c r="AT326">
        <v>2.987196</v>
      </c>
      <c r="AU326">
        <v>0.43559999999999999</v>
      </c>
      <c r="AV326">
        <v>2.987196</v>
      </c>
      <c r="AW326">
        <v>22.99381</v>
      </c>
      <c r="AX326">
        <v>8.6999999999999993</v>
      </c>
      <c r="AY326">
        <v>3.1475305701127501</v>
      </c>
      <c r="AZ326" s="1">
        <v>0.20000000298023199</v>
      </c>
      <c r="BA326" s="1">
        <v>0.152999997138977</v>
      </c>
      <c r="BB326" s="1">
        <v>0.35299998521804798</v>
      </c>
      <c r="BC326" s="1">
        <v>3.278079</v>
      </c>
      <c r="BD326" s="2">
        <v>96.793984746788993</v>
      </c>
      <c r="BE326" s="2">
        <f t="shared" si="10"/>
        <v>3.7682544847079953</v>
      </c>
      <c r="BF326" s="2">
        <f t="shared" si="11"/>
        <v>4.0507658194047043</v>
      </c>
      <c r="BG326">
        <v>10098</v>
      </c>
      <c r="BH326" s="3">
        <v>1301</v>
      </c>
      <c r="BI326">
        <v>14.789132658860975</v>
      </c>
      <c r="BJ326" s="3">
        <v>10098</v>
      </c>
      <c r="BK326">
        <v>1301</v>
      </c>
      <c r="BL326">
        <v>14.789132658860975</v>
      </c>
      <c r="BM326" s="3">
        <v>608.4</v>
      </c>
      <c r="BN326">
        <v>242</v>
      </c>
      <c r="BO326">
        <v>66.048034934497821</v>
      </c>
      <c r="BP326">
        <v>2457382999.1342902</v>
      </c>
      <c r="BQ326">
        <v>194429692.77391005</v>
      </c>
      <c r="BR326">
        <v>8.5918561477797777</v>
      </c>
      <c r="BS326">
        <v>0.18012909999999999</v>
      </c>
      <c r="BT326">
        <v>3.2898450000000001</v>
      </c>
      <c r="BU326">
        <v>9.9737235237211905</v>
      </c>
    </row>
    <row r="327" spans="1:73" x14ac:dyDescent="0.2">
      <c r="A327">
        <v>297</v>
      </c>
      <c r="B327" t="s">
        <v>87</v>
      </c>
      <c r="C327">
        <v>2009</v>
      </c>
      <c r="D327">
        <v>12</v>
      </c>
      <c r="E327">
        <v>0</v>
      </c>
      <c r="F327" t="s">
        <v>88</v>
      </c>
      <c r="G327">
        <v>0.72175</v>
      </c>
      <c r="H327">
        <v>0</v>
      </c>
      <c r="I327">
        <v>4.4160000000000004</v>
      </c>
      <c r="J327">
        <v>4.4870000000000001</v>
      </c>
      <c r="K327">
        <v>4.67</v>
      </c>
      <c r="L327">
        <v>4.7069999999999999</v>
      </c>
      <c r="M327">
        <v>2.0619999999999998</v>
      </c>
      <c r="N327">
        <v>2.0539999999999998</v>
      </c>
      <c r="O327">
        <v>0.66</v>
      </c>
      <c r="P327">
        <v>5.4219999999999997</v>
      </c>
      <c r="Q327">
        <v>0</v>
      </c>
      <c r="R327">
        <v>3772</v>
      </c>
      <c r="S327">
        <v>-4.6070000000000002</v>
      </c>
      <c r="T327">
        <v>3.69</v>
      </c>
      <c r="U327">
        <v>8.16</v>
      </c>
      <c r="V327">
        <v>43.9</v>
      </c>
      <c r="W327" t="s">
        <v>54</v>
      </c>
      <c r="X327" t="s">
        <v>55</v>
      </c>
      <c r="Y327" t="s">
        <v>59</v>
      </c>
      <c r="Z327">
        <v>0.217</v>
      </c>
      <c r="AA327">
        <v>0.46899999999999997</v>
      </c>
      <c r="AB327">
        <v>90</v>
      </c>
      <c r="AC327">
        <v>7.6</v>
      </c>
      <c r="AE327">
        <v>-86.273399999999995</v>
      </c>
      <c r="AF327">
        <v>12.147500000000001</v>
      </c>
      <c r="AG327" t="s">
        <v>63</v>
      </c>
      <c r="AH327" t="s">
        <v>83</v>
      </c>
      <c r="AI327">
        <v>1630.0920000000001</v>
      </c>
      <c r="AJ327">
        <v>-3.2927900000000001</v>
      </c>
      <c r="AK327">
        <v>9370000000</v>
      </c>
      <c r="AL327">
        <v>28.464030000000001</v>
      </c>
      <c r="AN327">
        <v>-8.4531519999999993</v>
      </c>
      <c r="AO327">
        <v>62.03584</v>
      </c>
      <c r="AP327">
        <v>86.993390000000005</v>
      </c>
      <c r="AQ327">
        <v>5.228542</v>
      </c>
      <c r="AR327">
        <v>14.497809999999999</v>
      </c>
      <c r="AS327">
        <v>6.7291629999999998</v>
      </c>
      <c r="AT327">
        <v>1.3056270000000001</v>
      </c>
      <c r="AU327">
        <v>0.43559999999999999</v>
      </c>
      <c r="AV327">
        <v>1.3056270000000001</v>
      </c>
      <c r="AW327">
        <v>22.960329999999999</v>
      </c>
      <c r="AX327">
        <v>16.14</v>
      </c>
      <c r="AY327">
        <v>3.1475305701127501</v>
      </c>
      <c r="AZ327" s="1">
        <v>0.20000000298023199</v>
      </c>
      <c r="BA327" s="1">
        <v>0.152999997138977</v>
      </c>
      <c r="BB327" s="1">
        <v>0.35299998521804798</v>
      </c>
      <c r="BC327" s="1">
        <v>3.278079</v>
      </c>
      <c r="BD327" s="2">
        <v>86.993610408831998</v>
      </c>
      <c r="BE327" s="2">
        <f t="shared" si="10"/>
        <v>9.8003743379569954</v>
      </c>
      <c r="BF327" s="2">
        <f t="shared" si="11"/>
        <v>10.124982831933789</v>
      </c>
      <c r="BG327">
        <v>11478</v>
      </c>
      <c r="BH327" s="3">
        <v>1380</v>
      </c>
      <c r="BI327">
        <v>13.666072489601902</v>
      </c>
      <c r="BJ327" s="3">
        <v>11478</v>
      </c>
      <c r="BK327">
        <v>1380</v>
      </c>
      <c r="BL327">
        <v>13.666072489601902</v>
      </c>
      <c r="BM327" s="3">
        <v>463</v>
      </c>
      <c r="BN327">
        <v>145.39999999999998</v>
      </c>
      <c r="BO327">
        <v>23.898750821827743</v>
      </c>
      <c r="BP327">
        <v>1853401046.3673301</v>
      </c>
      <c r="BQ327">
        <v>603981952.76696014</v>
      </c>
      <c r="BR327">
        <v>24.57825878097702</v>
      </c>
      <c r="BS327">
        <v>0.65958309999999998</v>
      </c>
      <c r="BT327">
        <v>2.0717669999999999</v>
      </c>
      <c r="BU327">
        <v>7.9019560147611401</v>
      </c>
    </row>
    <row r="328" spans="1:73" x14ac:dyDescent="0.2">
      <c r="A328">
        <v>298</v>
      </c>
      <c r="B328" t="s">
        <v>87</v>
      </c>
      <c r="C328">
        <v>2010</v>
      </c>
      <c r="D328">
        <v>12</v>
      </c>
      <c r="E328">
        <v>0</v>
      </c>
      <c r="F328" t="s">
        <v>88</v>
      </c>
      <c r="G328">
        <v>0.69099999999999995</v>
      </c>
      <c r="H328">
        <v>0</v>
      </c>
      <c r="I328">
        <v>4.4160000000000004</v>
      </c>
      <c r="J328">
        <v>4.4870000000000001</v>
      </c>
      <c r="K328">
        <v>4.67</v>
      </c>
      <c r="L328">
        <v>4.7069999999999999</v>
      </c>
      <c r="M328">
        <v>2.0619999999999998</v>
      </c>
      <c r="N328">
        <v>2.0539999999999998</v>
      </c>
      <c r="O328">
        <v>0.188</v>
      </c>
      <c r="P328">
        <v>5.5620000000000003</v>
      </c>
      <c r="Q328">
        <v>0</v>
      </c>
      <c r="R328">
        <v>3917</v>
      </c>
      <c r="S328">
        <v>3.0019999999999998</v>
      </c>
      <c r="T328">
        <v>5.46</v>
      </c>
      <c r="U328">
        <v>7.83</v>
      </c>
      <c r="W328" t="s">
        <v>54</v>
      </c>
      <c r="X328" t="s">
        <v>55</v>
      </c>
      <c r="Y328" t="s">
        <v>59</v>
      </c>
      <c r="Z328">
        <v>0.21299999999999999</v>
      </c>
      <c r="AA328">
        <v>0.46600000000000003</v>
      </c>
      <c r="AB328">
        <v>90</v>
      </c>
      <c r="AC328">
        <v>7.6</v>
      </c>
      <c r="AE328">
        <v>-86.273399999999995</v>
      </c>
      <c r="AF328">
        <v>12.147500000000001</v>
      </c>
      <c r="AG328" t="s">
        <v>63</v>
      </c>
      <c r="AH328" t="s">
        <v>83</v>
      </c>
      <c r="AI328">
        <v>1679.027</v>
      </c>
      <c r="AJ328">
        <v>4.4096460000000004</v>
      </c>
      <c r="AK328">
        <v>9780000000</v>
      </c>
      <c r="AL328">
        <v>26.790230000000001</v>
      </c>
      <c r="AN328">
        <v>-8.8746659999999995</v>
      </c>
      <c r="AO328">
        <v>60.890050000000002</v>
      </c>
      <c r="AP328">
        <v>100.363</v>
      </c>
      <c r="AQ328">
        <v>5.5933349999999997</v>
      </c>
      <c r="AR328">
        <v>14.09761</v>
      </c>
      <c r="AS328">
        <v>7.7024350000000004</v>
      </c>
      <c r="AT328">
        <v>1.697449</v>
      </c>
      <c r="AU328">
        <v>3.5344E-2</v>
      </c>
      <c r="AV328">
        <v>1.697449</v>
      </c>
      <c r="AW328">
        <v>23.00348</v>
      </c>
      <c r="AX328">
        <v>1.77</v>
      </c>
      <c r="AY328">
        <v>2.7727489280609801</v>
      </c>
      <c r="AZ328" s="1">
        <v>0.20000000298023199</v>
      </c>
      <c r="BA328" s="1">
        <v>0.152999997138977</v>
      </c>
      <c r="BB328" s="1">
        <v>0.35299998521804798</v>
      </c>
      <c r="BC328" s="1">
        <v>3.278079</v>
      </c>
      <c r="BD328" s="2">
        <v>100.36405845368</v>
      </c>
      <c r="BE328" s="2">
        <f t="shared" si="10"/>
        <v>13.370448044848004</v>
      </c>
      <c r="BF328" s="2">
        <f t="shared" si="11"/>
        <v>15.369459874136426</v>
      </c>
      <c r="BG328">
        <v>14479</v>
      </c>
      <c r="BH328" s="3">
        <v>3001</v>
      </c>
      <c r="BI328">
        <v>26.145669977347971</v>
      </c>
      <c r="BJ328" s="3">
        <v>14479</v>
      </c>
      <c r="BK328">
        <v>3001</v>
      </c>
      <c r="BL328">
        <v>26.145669977347971</v>
      </c>
      <c r="BM328" s="3">
        <v>474.8</v>
      </c>
      <c r="BN328">
        <v>11.800000000000011</v>
      </c>
      <c r="BO328">
        <v>2.5485961123110177</v>
      </c>
      <c r="BP328">
        <v>1991237810.7088399</v>
      </c>
      <c r="BQ328">
        <v>137836764.34150982</v>
      </c>
      <c r="BR328">
        <v>7.4369637705595428</v>
      </c>
      <c r="BS328">
        <v>0.40020280000000003</v>
      </c>
      <c r="BT328">
        <v>8.4413160000000005</v>
      </c>
      <c r="BU328">
        <v>-0.53936001059122396</v>
      </c>
    </row>
    <row r="329" spans="1:73" x14ac:dyDescent="0.2">
      <c r="A329">
        <v>299</v>
      </c>
      <c r="B329" t="s">
        <v>87</v>
      </c>
      <c r="C329">
        <v>2011</v>
      </c>
      <c r="D329">
        <v>12</v>
      </c>
      <c r="E329">
        <v>0</v>
      </c>
      <c r="F329" t="s">
        <v>88</v>
      </c>
      <c r="G329">
        <v>0.69099999999999995</v>
      </c>
      <c r="H329">
        <v>0</v>
      </c>
      <c r="I329">
        <v>4.4160000000000004</v>
      </c>
      <c r="J329">
        <v>4.4870000000000001</v>
      </c>
      <c r="K329">
        <v>4.67</v>
      </c>
      <c r="L329">
        <v>4.7069999999999999</v>
      </c>
      <c r="M329">
        <v>2.0619999999999998</v>
      </c>
      <c r="N329">
        <v>2.0539999999999998</v>
      </c>
      <c r="O329">
        <v>0.188</v>
      </c>
      <c r="P329">
        <v>5.5839999999999996</v>
      </c>
      <c r="Q329">
        <v>1</v>
      </c>
      <c r="R329">
        <v>4189</v>
      </c>
      <c r="S329">
        <v>4.8940000000000001</v>
      </c>
      <c r="T329">
        <v>8.08</v>
      </c>
      <c r="W329" t="s">
        <v>54</v>
      </c>
      <c r="X329" t="s">
        <v>55</v>
      </c>
      <c r="Y329" t="s">
        <v>59</v>
      </c>
      <c r="Z329">
        <v>0.20699999999999999</v>
      </c>
      <c r="AA329">
        <v>0.45600000000000002</v>
      </c>
      <c r="AB329">
        <v>90</v>
      </c>
      <c r="AC329">
        <v>7.6</v>
      </c>
      <c r="AE329">
        <v>-86.273399999999995</v>
      </c>
      <c r="AF329">
        <v>12.147500000000001</v>
      </c>
      <c r="AG329" t="s">
        <v>63</v>
      </c>
      <c r="AH329" t="s">
        <v>83</v>
      </c>
      <c r="AI329">
        <v>1761.2159999999999</v>
      </c>
      <c r="AJ329">
        <v>6.3174760000000001</v>
      </c>
      <c r="AK329">
        <v>10400000000</v>
      </c>
      <c r="AL329">
        <v>26.202169999999999</v>
      </c>
      <c r="AN329">
        <v>-11.90775</v>
      </c>
      <c r="AO329">
        <v>59.742460000000001</v>
      </c>
      <c r="AP329">
        <v>111.8272</v>
      </c>
      <c r="AQ329">
        <v>9.5791950000000003</v>
      </c>
      <c r="AR329">
        <v>13.598739999999999</v>
      </c>
      <c r="AS329">
        <v>1.9078310000000001</v>
      </c>
      <c r="AT329">
        <v>2.0893920000000001</v>
      </c>
      <c r="AU329">
        <v>3.5344E-2</v>
      </c>
      <c r="AV329">
        <v>2.0893920000000001</v>
      </c>
      <c r="AW329">
        <v>23.06474</v>
      </c>
      <c r="AX329">
        <v>2.62</v>
      </c>
      <c r="AY329">
        <v>2.7727489280609801</v>
      </c>
      <c r="AZ329" s="1">
        <v>0.20550000667571999</v>
      </c>
      <c r="BA329" s="1">
        <v>0.35100001096725503</v>
      </c>
      <c r="BB329" s="1">
        <v>0.55650001764297496</v>
      </c>
      <c r="BC329" s="1">
        <v>3.278079</v>
      </c>
      <c r="BD329" s="2">
        <v>111.827453906438</v>
      </c>
      <c r="BE329" s="2">
        <f t="shared" si="10"/>
        <v>11.463395452757993</v>
      </c>
      <c r="BF329" s="2">
        <f t="shared" si="11"/>
        <v>11.421813375600566</v>
      </c>
      <c r="BG329">
        <v>17275</v>
      </c>
      <c r="BH329" s="3">
        <v>2796</v>
      </c>
      <c r="BI329">
        <v>19.310725878859039</v>
      </c>
      <c r="BJ329" s="3">
        <v>17275</v>
      </c>
      <c r="BK329">
        <v>2796</v>
      </c>
      <c r="BL329">
        <v>19.310725878859039</v>
      </c>
      <c r="BM329" s="3">
        <v>928.6</v>
      </c>
      <c r="BN329">
        <v>453.8</v>
      </c>
      <c r="BO329">
        <v>95.57708508845829</v>
      </c>
      <c r="BP329">
        <v>2430301720.49793</v>
      </c>
      <c r="BQ329">
        <v>439063909.78909016</v>
      </c>
      <c r="BR329">
        <v>22.049797740270527</v>
      </c>
      <c r="BS329">
        <v>0.49886419999999998</v>
      </c>
      <c r="BT329">
        <v>4.5232390000000002</v>
      </c>
      <c r="BU329">
        <v>3.98387942722833</v>
      </c>
    </row>
    <row r="330" spans="1:73" x14ac:dyDescent="0.2">
      <c r="A330">
        <v>300</v>
      </c>
      <c r="B330" t="s">
        <v>87</v>
      </c>
      <c r="C330">
        <v>2012</v>
      </c>
      <c r="D330">
        <v>12</v>
      </c>
      <c r="E330">
        <v>1</v>
      </c>
      <c r="F330" t="s">
        <v>88</v>
      </c>
      <c r="G330">
        <v>0.69099999999999995</v>
      </c>
      <c r="H330">
        <v>0</v>
      </c>
      <c r="I330">
        <v>2.6890000000000001</v>
      </c>
      <c r="J330">
        <v>2.6150000000000002</v>
      </c>
      <c r="K330">
        <v>3.6440000000000001</v>
      </c>
      <c r="L330">
        <v>3.5939999999999999</v>
      </c>
      <c r="M330">
        <v>1.4950000000000001</v>
      </c>
      <c r="N330">
        <v>1.454</v>
      </c>
      <c r="O330">
        <v>0.188</v>
      </c>
      <c r="P330">
        <v>5.5839999999999996</v>
      </c>
      <c r="Q330">
        <v>0</v>
      </c>
      <c r="R330">
        <v>4376</v>
      </c>
      <c r="S330">
        <v>5.0819999999999999</v>
      </c>
      <c r="T330">
        <v>7.19</v>
      </c>
      <c r="U330">
        <v>5.21</v>
      </c>
      <c r="W330" t="s">
        <v>54</v>
      </c>
      <c r="X330" t="s">
        <v>55</v>
      </c>
      <c r="Y330" t="s">
        <v>59</v>
      </c>
      <c r="Z330">
        <v>0.17299999999999999</v>
      </c>
      <c r="AA330">
        <v>0.39100000000000001</v>
      </c>
      <c r="AB330">
        <v>90</v>
      </c>
      <c r="AC330">
        <v>7.6</v>
      </c>
      <c r="AE330">
        <v>-86.273399999999995</v>
      </c>
      <c r="AF330">
        <v>12.147500000000001</v>
      </c>
      <c r="AG330" t="s">
        <v>63</v>
      </c>
      <c r="AH330" t="s">
        <v>83</v>
      </c>
      <c r="AI330">
        <v>1850.6890000000001</v>
      </c>
      <c r="AJ330">
        <v>6.4952579999999998</v>
      </c>
      <c r="AK330">
        <v>11100000000</v>
      </c>
      <c r="AL330">
        <v>28.725670000000001</v>
      </c>
      <c r="AN330">
        <v>-11.724259999999999</v>
      </c>
      <c r="AO330">
        <v>58.673699999999997</v>
      </c>
      <c r="AP330">
        <v>115.17740000000001</v>
      </c>
      <c r="AQ330">
        <v>7.3651679999999997</v>
      </c>
      <c r="AR330">
        <v>13.56847</v>
      </c>
      <c r="AS330">
        <v>0.17778160000000001</v>
      </c>
      <c r="AT330">
        <v>1.972691</v>
      </c>
      <c r="AU330">
        <v>3.5344E-2</v>
      </c>
      <c r="AV330">
        <v>1.972691</v>
      </c>
      <c r="AW330">
        <v>23.127669999999998</v>
      </c>
      <c r="AX330">
        <v>0.88999989999999995</v>
      </c>
      <c r="AY330">
        <v>2.7727489280609801</v>
      </c>
      <c r="AZ330" s="1">
        <v>0.20550000667571999</v>
      </c>
      <c r="BA330" s="1">
        <v>0.35100001096725503</v>
      </c>
      <c r="BB330" s="1">
        <v>0.55650001764297496</v>
      </c>
      <c r="BC330" s="1">
        <v>1.9628941</v>
      </c>
      <c r="BD330" s="2">
        <v>115.17728851875199</v>
      </c>
      <c r="BE330" s="2">
        <f t="shared" si="10"/>
        <v>3.3498346123139982</v>
      </c>
      <c r="BF330" s="2">
        <f t="shared" si="11"/>
        <v>2.9955386582588961</v>
      </c>
      <c r="BG330">
        <v>18824</v>
      </c>
      <c r="BH330" s="3">
        <v>1549</v>
      </c>
      <c r="BI330">
        <v>8.9667149059334292</v>
      </c>
      <c r="BJ330" s="3">
        <v>18824</v>
      </c>
      <c r="BK330">
        <v>1549</v>
      </c>
      <c r="BL330">
        <v>8.9667149059334292</v>
      </c>
      <c r="BM330" s="3">
        <v>712.3</v>
      </c>
      <c r="BN330">
        <v>216.30000000000007</v>
      </c>
      <c r="BO330">
        <v>23.293129442171018</v>
      </c>
      <c r="BP330">
        <v>2931722010.3266501</v>
      </c>
      <c r="BQ330">
        <v>501420289.82872009</v>
      </c>
      <c r="BR330">
        <v>20.632018057658581</v>
      </c>
      <c r="BS330">
        <v>3.0270600000000002E-2</v>
      </c>
      <c r="BT330">
        <v>5.4140550000000003</v>
      </c>
      <c r="BU330">
        <v>9.3979335317015291</v>
      </c>
    </row>
    <row r="331" spans="1:73" x14ac:dyDescent="0.2">
      <c r="A331">
        <v>301</v>
      </c>
      <c r="B331" t="s">
        <v>87</v>
      </c>
      <c r="C331">
        <v>2013</v>
      </c>
      <c r="D331">
        <v>12</v>
      </c>
      <c r="E331">
        <v>0</v>
      </c>
      <c r="F331" t="s">
        <v>88</v>
      </c>
      <c r="G331">
        <v>0.69099999999999995</v>
      </c>
      <c r="H331">
        <v>0</v>
      </c>
      <c r="I331">
        <v>2.6890000000000001</v>
      </c>
      <c r="J331">
        <v>2.6150000000000002</v>
      </c>
      <c r="K331">
        <v>3.6440000000000001</v>
      </c>
      <c r="L331">
        <v>3.5939999999999999</v>
      </c>
      <c r="M331">
        <v>1.4950000000000001</v>
      </c>
      <c r="N331">
        <v>1.454</v>
      </c>
      <c r="O331">
        <v>0.188</v>
      </c>
      <c r="P331">
        <v>5.9589999999999996</v>
      </c>
      <c r="Q331">
        <v>0</v>
      </c>
      <c r="R331">
        <v>4527</v>
      </c>
      <c r="S331">
        <v>3.5430000000000001</v>
      </c>
      <c r="T331">
        <v>7.14</v>
      </c>
      <c r="U331">
        <v>5.28</v>
      </c>
      <c r="W331" t="s">
        <v>54</v>
      </c>
      <c r="X331" t="s">
        <v>55</v>
      </c>
      <c r="Y331" t="s">
        <v>59</v>
      </c>
      <c r="Z331">
        <v>0.14299999999999999</v>
      </c>
      <c r="AA331">
        <v>0.34399999999999997</v>
      </c>
      <c r="AB331">
        <v>90</v>
      </c>
      <c r="AC331">
        <v>7.6</v>
      </c>
      <c r="AE331">
        <v>-86.273399999999995</v>
      </c>
      <c r="AF331">
        <v>12.147500000000001</v>
      </c>
      <c r="AG331" t="s">
        <v>63</v>
      </c>
      <c r="AH331" t="s">
        <v>83</v>
      </c>
      <c r="AI331">
        <v>1916.279</v>
      </c>
      <c r="AJ331">
        <v>4.9275029999999997</v>
      </c>
      <c r="AK331">
        <v>11600000000</v>
      </c>
      <c r="AL331">
        <v>31.871929999999999</v>
      </c>
      <c r="AN331">
        <v>-12.56854</v>
      </c>
      <c r="AO331">
        <v>57.723939999999999</v>
      </c>
      <c r="AP331">
        <v>110.9841</v>
      </c>
      <c r="AQ331">
        <v>8.7872330000000005</v>
      </c>
      <c r="AR331">
        <v>13.76202</v>
      </c>
      <c r="AS331">
        <v>1.567755</v>
      </c>
      <c r="AT331">
        <v>1.965713</v>
      </c>
      <c r="AU331">
        <v>3.5344E-2</v>
      </c>
      <c r="AV331">
        <v>1.965713</v>
      </c>
      <c r="AW331">
        <v>23.17577</v>
      </c>
      <c r="AX331">
        <v>5.0000200000000002E-2</v>
      </c>
      <c r="AY331">
        <v>2.7727489280609801</v>
      </c>
      <c r="AZ331" s="1">
        <v>0.20550000667571999</v>
      </c>
      <c r="BA331" s="1">
        <v>0.35100001096725503</v>
      </c>
      <c r="BB331" s="1">
        <v>0.55650001764297496</v>
      </c>
      <c r="BC331" s="1">
        <v>1.9628941</v>
      </c>
      <c r="BD331" s="2">
        <v>110.984207909989</v>
      </c>
      <c r="BE331" s="2">
        <f t="shared" si="10"/>
        <v>4.1930806087629975</v>
      </c>
      <c r="BF331" s="2">
        <f t="shared" si="11"/>
        <v>3.6405446444246885</v>
      </c>
      <c r="BG331">
        <v>21473</v>
      </c>
      <c r="BH331" s="3">
        <v>2649</v>
      </c>
      <c r="BI331">
        <v>14.072460688482789</v>
      </c>
      <c r="BJ331" s="3">
        <v>21473</v>
      </c>
      <c r="BK331">
        <v>2649</v>
      </c>
      <c r="BL331">
        <v>14.072460688482789</v>
      </c>
      <c r="BM331" s="3">
        <v>815</v>
      </c>
      <c r="BN331">
        <v>102.70000000000005</v>
      </c>
      <c r="BO331">
        <v>14.418082268707012</v>
      </c>
      <c r="BP331">
        <v>3088099034.65767</v>
      </c>
      <c r="BQ331">
        <v>156377024.33101988</v>
      </c>
      <c r="BR331">
        <v>5.3339649455234834</v>
      </c>
      <c r="BS331">
        <v>0.19354150000000001</v>
      </c>
      <c r="BT331">
        <v>1.4869540000000001</v>
      </c>
      <c r="BU331">
        <v>7.9109803654717599</v>
      </c>
    </row>
    <row r="332" spans="1:73" x14ac:dyDescent="0.2">
      <c r="A332">
        <v>302</v>
      </c>
      <c r="B332" t="s">
        <v>87</v>
      </c>
      <c r="C332">
        <v>2014</v>
      </c>
      <c r="D332">
        <v>12</v>
      </c>
      <c r="E332">
        <v>0</v>
      </c>
      <c r="F332" t="s">
        <v>88</v>
      </c>
      <c r="G332">
        <v>0.69099999999999995</v>
      </c>
      <c r="H332">
        <v>0</v>
      </c>
      <c r="I332">
        <v>2.6890000000000001</v>
      </c>
      <c r="J332">
        <v>2.6150000000000002</v>
      </c>
      <c r="K332">
        <v>3.6440000000000001</v>
      </c>
      <c r="L332">
        <v>3.5939999999999999</v>
      </c>
      <c r="M332">
        <v>1.4950000000000001</v>
      </c>
      <c r="N332">
        <v>1.454</v>
      </c>
      <c r="O332">
        <v>0.188</v>
      </c>
      <c r="P332">
        <v>5.9589999999999996</v>
      </c>
      <c r="Q332">
        <v>0</v>
      </c>
      <c r="R332">
        <v>4685</v>
      </c>
      <c r="S332">
        <v>3.4169999999999998</v>
      </c>
      <c r="T332">
        <v>6.04</v>
      </c>
      <c r="U332">
        <v>4.5199999999999996</v>
      </c>
      <c r="V332">
        <v>46.2</v>
      </c>
      <c r="W332" t="s">
        <v>54</v>
      </c>
      <c r="X332" t="s">
        <v>55</v>
      </c>
      <c r="Y332" t="s">
        <v>59</v>
      </c>
      <c r="Z332">
        <v>0.14199999999999999</v>
      </c>
      <c r="AA332">
        <v>0.33900000000000002</v>
      </c>
      <c r="AB332">
        <v>90</v>
      </c>
      <c r="AC332">
        <v>7.6</v>
      </c>
      <c r="AE332">
        <v>-86.273399999999995</v>
      </c>
      <c r="AF332">
        <v>12.147500000000001</v>
      </c>
      <c r="AG332" t="s">
        <v>63</v>
      </c>
      <c r="AH332" t="s">
        <v>83</v>
      </c>
      <c r="AI332">
        <v>1981.748</v>
      </c>
      <c r="AJ332">
        <v>4.7858159999999996</v>
      </c>
      <c r="AK332">
        <v>12200000000</v>
      </c>
      <c r="AL332">
        <v>33.86112</v>
      </c>
      <c r="AN332">
        <v>-8.0283259999999999</v>
      </c>
      <c r="AO332">
        <v>56.934840000000001</v>
      </c>
      <c r="AP332">
        <v>106.6981</v>
      </c>
      <c r="AQ332">
        <v>9.0636419999999998</v>
      </c>
      <c r="AR332">
        <v>14.27969</v>
      </c>
      <c r="AS332">
        <v>0.14168639999999999</v>
      </c>
      <c r="AT332">
        <v>1.7984039999999999</v>
      </c>
      <c r="AU332">
        <v>3.5344E-2</v>
      </c>
      <c r="AV332">
        <v>1.7984039999999999</v>
      </c>
      <c r="AW332">
        <v>23.222519999999999</v>
      </c>
      <c r="AX332">
        <v>1.1000000000000001</v>
      </c>
      <c r="AY332">
        <v>2.7727489280609801</v>
      </c>
      <c r="AZ332" s="1">
        <v>0.20550000667571999</v>
      </c>
      <c r="BA332" s="1">
        <v>0.35100001096725503</v>
      </c>
      <c r="BB332" s="1">
        <v>0.55650001764297496</v>
      </c>
      <c r="BC332" s="1">
        <v>1.9628941</v>
      </c>
      <c r="BD332" s="2">
        <v>106.698200184207</v>
      </c>
      <c r="BE332" s="2">
        <f t="shared" si="10"/>
        <v>4.2860077257819995</v>
      </c>
      <c r="BF332" s="2">
        <f t="shared" si="11"/>
        <v>3.8618176463970983</v>
      </c>
      <c r="BG332">
        <v>24240</v>
      </c>
      <c r="BH332" s="3">
        <v>2767</v>
      </c>
      <c r="BI332">
        <v>12.885949797420016</v>
      </c>
      <c r="BJ332" s="3">
        <v>24240</v>
      </c>
      <c r="BK332">
        <v>2767</v>
      </c>
      <c r="BL332">
        <v>12.885949797420016</v>
      </c>
      <c r="BM332" s="3">
        <v>982.8</v>
      </c>
      <c r="BN332">
        <v>167.79999999999995</v>
      </c>
      <c r="BO332">
        <v>20.588957055214721</v>
      </c>
      <c r="BP332">
        <v>3190730136.7719002</v>
      </c>
      <c r="BQ332">
        <v>102631102.11423016</v>
      </c>
      <c r="BR332">
        <v>3.3234394675301364</v>
      </c>
      <c r="BS332">
        <v>0.51767730000000001</v>
      </c>
      <c r="BT332">
        <v>2.8140149999999999</v>
      </c>
      <c r="BU332">
        <v>5.0969653222961302</v>
      </c>
    </row>
    <row r="333" spans="1:73" x14ac:dyDescent="0.2">
      <c r="A333">
        <v>303</v>
      </c>
      <c r="B333" t="s">
        <v>87</v>
      </c>
      <c r="C333">
        <v>2015</v>
      </c>
      <c r="D333">
        <v>12</v>
      </c>
      <c r="E333">
        <v>0</v>
      </c>
      <c r="F333" t="s">
        <v>88</v>
      </c>
      <c r="G333">
        <v>0.69099999999999995</v>
      </c>
      <c r="H333">
        <v>0</v>
      </c>
      <c r="I333">
        <v>2.6890000000000001</v>
      </c>
      <c r="J333">
        <v>2.6150000000000002</v>
      </c>
      <c r="K333">
        <v>3.6440000000000001</v>
      </c>
      <c r="L333">
        <v>3.5939999999999999</v>
      </c>
      <c r="M333">
        <v>1.4950000000000001</v>
      </c>
      <c r="N333">
        <v>1.454</v>
      </c>
      <c r="O333">
        <v>0.188</v>
      </c>
      <c r="P333">
        <v>5.875</v>
      </c>
      <c r="Q333">
        <v>0</v>
      </c>
      <c r="R333">
        <v>4866</v>
      </c>
      <c r="S333">
        <v>3.4359999999999999</v>
      </c>
      <c r="T333">
        <v>4</v>
      </c>
      <c r="U333">
        <v>4.7</v>
      </c>
      <c r="W333" t="s">
        <v>54</v>
      </c>
      <c r="X333" t="s">
        <v>55</v>
      </c>
      <c r="Y333" t="s">
        <v>59</v>
      </c>
      <c r="Z333">
        <v>0.14000000000000001</v>
      </c>
      <c r="AA333">
        <v>0.33800000000000002</v>
      </c>
      <c r="AB333">
        <v>90</v>
      </c>
      <c r="AC333">
        <v>7.6</v>
      </c>
      <c r="AE333">
        <v>-86.273399999999995</v>
      </c>
      <c r="AF333">
        <v>12.147500000000001</v>
      </c>
      <c r="AG333" t="s">
        <v>63</v>
      </c>
      <c r="AH333" t="s">
        <v>83</v>
      </c>
      <c r="AI333">
        <v>2049.8519999999999</v>
      </c>
      <c r="AJ333">
        <v>4.7920569999999998</v>
      </c>
      <c r="AK333">
        <v>12800000000</v>
      </c>
      <c r="AL333">
        <v>36.85125</v>
      </c>
      <c r="AN333">
        <v>-9.8732380000000006</v>
      </c>
      <c r="AO333">
        <v>56.315219999999997</v>
      </c>
      <c r="AP333">
        <v>98.19417</v>
      </c>
      <c r="AQ333">
        <v>7.5803269999999996</v>
      </c>
      <c r="AR333">
        <v>14.052350000000001</v>
      </c>
      <c r="AS333">
        <v>6.2404000000000001E-3</v>
      </c>
      <c r="AT333">
        <v>1.3862939999999999</v>
      </c>
      <c r="AU333">
        <v>3.5344E-2</v>
      </c>
      <c r="AV333">
        <v>1.3862939999999999</v>
      </c>
      <c r="AW333">
        <v>23.26932</v>
      </c>
      <c r="AX333">
        <v>2.04</v>
      </c>
      <c r="AY333">
        <v>2.7727489280609801</v>
      </c>
      <c r="AZ333" s="1">
        <v>0.20550000667571999</v>
      </c>
      <c r="BA333" s="1">
        <v>0.35100001096725503</v>
      </c>
      <c r="BB333" s="1">
        <v>0.55650001764297496</v>
      </c>
      <c r="BC333" s="1">
        <v>1.9628941</v>
      </c>
      <c r="BD333" s="2">
        <v>98.194164590491994</v>
      </c>
      <c r="BE333" s="2">
        <f t="shared" si="10"/>
        <v>8.5040355937150025</v>
      </c>
      <c r="BF333" s="2">
        <f t="shared" si="11"/>
        <v>7.9701771717174035</v>
      </c>
      <c r="BG333">
        <v>30675</v>
      </c>
      <c r="BH333" s="3">
        <v>6435</v>
      </c>
      <c r="BI333">
        <v>26.547029702970296</v>
      </c>
      <c r="BJ333" s="3">
        <v>30675</v>
      </c>
      <c r="BK333">
        <v>6435</v>
      </c>
      <c r="BL333">
        <v>26.547029702970296</v>
      </c>
      <c r="BM333" s="3">
        <v>922</v>
      </c>
      <c r="BN333">
        <v>60.799999999999955</v>
      </c>
      <c r="BO333">
        <v>6.1864061864061819</v>
      </c>
      <c r="BP333">
        <v>3733050101.25914</v>
      </c>
      <c r="BQ333">
        <v>542319964.48723984</v>
      </c>
      <c r="BR333">
        <v>16.996735582154603</v>
      </c>
      <c r="BS333">
        <v>0.22734360000000001</v>
      </c>
      <c r="BT333">
        <v>1.8041419999999999</v>
      </c>
      <c r="BU333">
        <v>3.2928227701164201</v>
      </c>
    </row>
    <row r="334" spans="1:73" x14ac:dyDescent="0.2">
      <c r="A334">
        <v>304</v>
      </c>
      <c r="B334" t="s">
        <v>87</v>
      </c>
      <c r="C334">
        <v>2016</v>
      </c>
      <c r="D334">
        <v>12</v>
      </c>
      <c r="E334">
        <v>0</v>
      </c>
      <c r="F334" t="s">
        <v>88</v>
      </c>
      <c r="G334">
        <v>0.69099999999999995</v>
      </c>
      <c r="H334">
        <v>0</v>
      </c>
      <c r="I334">
        <v>2.6890000000000001</v>
      </c>
      <c r="J334">
        <v>2.6150000000000002</v>
      </c>
      <c r="K334">
        <v>3.6440000000000001</v>
      </c>
      <c r="L334">
        <v>3.5939999999999999</v>
      </c>
      <c r="M334">
        <v>1.4950000000000001</v>
      </c>
      <c r="N334">
        <v>1.454</v>
      </c>
      <c r="O334">
        <v>0.188</v>
      </c>
      <c r="P334">
        <v>5.8410000000000002</v>
      </c>
      <c r="Q334">
        <v>1</v>
      </c>
      <c r="R334">
        <v>5045</v>
      </c>
      <c r="S334">
        <v>3.2240000000000002</v>
      </c>
      <c r="T334">
        <v>3.52</v>
      </c>
      <c r="U334">
        <v>3.9</v>
      </c>
      <c r="W334" t="s">
        <v>54</v>
      </c>
      <c r="X334" t="s">
        <v>55</v>
      </c>
      <c r="Y334" t="s">
        <v>56</v>
      </c>
      <c r="Z334">
        <v>0.13600000000000001</v>
      </c>
      <c r="AA334">
        <v>0.33400000000000002</v>
      </c>
      <c r="AB334">
        <v>90</v>
      </c>
      <c r="AC334">
        <v>7.6</v>
      </c>
      <c r="AE334">
        <v>-86.273399999999995</v>
      </c>
      <c r="AF334">
        <v>12.147500000000001</v>
      </c>
      <c r="AG334" t="s">
        <v>63</v>
      </c>
      <c r="AH334" t="s">
        <v>83</v>
      </c>
      <c r="AI334">
        <v>2115.9459999999999</v>
      </c>
      <c r="AJ334">
        <v>4.5635149999999998</v>
      </c>
      <c r="AK334">
        <v>13300000000</v>
      </c>
      <c r="AL334">
        <v>38.580010000000001</v>
      </c>
      <c r="AN334">
        <v>-8.4833130000000008</v>
      </c>
      <c r="AO334">
        <v>55.734560000000002</v>
      </c>
      <c r="AP334">
        <v>93.813720000000004</v>
      </c>
      <c r="AQ334">
        <v>7.4446320000000004</v>
      </c>
      <c r="AR334">
        <v>14.46086</v>
      </c>
      <c r="AS334">
        <v>0.22854140000000001</v>
      </c>
      <c r="AT334">
        <v>1.2584610000000001</v>
      </c>
      <c r="AU334">
        <v>3.5344E-2</v>
      </c>
      <c r="AV334">
        <v>1.2584610000000001</v>
      </c>
      <c r="AW334">
        <v>23.313949999999998</v>
      </c>
      <c r="AX334">
        <v>0.48</v>
      </c>
      <c r="AY334">
        <v>2.7727489280609801</v>
      </c>
      <c r="AZ334" s="1" t="s">
        <v>101</v>
      </c>
      <c r="BA334" s="1" t="s">
        <v>101</v>
      </c>
      <c r="BB334" s="1" t="s">
        <v>101</v>
      </c>
      <c r="BC334" s="1">
        <v>1.9628941</v>
      </c>
      <c r="BD334" s="2">
        <v>93.813727814949004</v>
      </c>
      <c r="BE334" s="2">
        <f t="shared" si="10"/>
        <v>4.3804367755429894</v>
      </c>
      <c r="BF334" s="2">
        <f t="shared" si="11"/>
        <v>4.4609950029221404</v>
      </c>
      <c r="BG334">
        <v>31898</v>
      </c>
      <c r="BH334" s="3">
        <v>1223</v>
      </c>
      <c r="BI334">
        <v>3.9869600651996739</v>
      </c>
      <c r="BJ334" s="3">
        <v>31898</v>
      </c>
      <c r="BK334">
        <v>1223</v>
      </c>
      <c r="BL334">
        <v>3.9869600651996739</v>
      </c>
      <c r="BM334" s="3">
        <v>923.8</v>
      </c>
      <c r="BN334">
        <v>1.7999999999999545</v>
      </c>
      <c r="BO334">
        <v>0.19522776572667619</v>
      </c>
      <c r="BP334">
        <v>3785893314.1880498</v>
      </c>
      <c r="BQ334">
        <v>52843212.928909779</v>
      </c>
      <c r="BR334">
        <v>1.4155505952380874</v>
      </c>
      <c r="BS334">
        <v>0.40850829999999999</v>
      </c>
      <c r="BT334">
        <v>0.65001390000000003</v>
      </c>
      <c r="BU334">
        <v>3.94283667607777</v>
      </c>
    </row>
    <row r="335" spans="1:73" x14ac:dyDescent="0.2">
      <c r="A335">
        <v>305</v>
      </c>
      <c r="B335" t="s">
        <v>87</v>
      </c>
      <c r="C335">
        <v>2017</v>
      </c>
      <c r="D335">
        <v>12</v>
      </c>
      <c r="E335">
        <v>1</v>
      </c>
      <c r="F335" t="s">
        <v>88</v>
      </c>
      <c r="G335">
        <v>0.69099999999999995</v>
      </c>
      <c r="H335">
        <v>0</v>
      </c>
      <c r="I335">
        <v>4.6719999999999997</v>
      </c>
      <c r="J335">
        <v>4.8230000000000004</v>
      </c>
      <c r="K335">
        <v>4.8029999999999999</v>
      </c>
      <c r="L335">
        <v>4.88</v>
      </c>
      <c r="M335">
        <v>1.5229999999999999</v>
      </c>
      <c r="N335">
        <v>1.5720000000000001</v>
      </c>
      <c r="O335">
        <v>0.188</v>
      </c>
      <c r="P335">
        <v>6.1159999999999997</v>
      </c>
      <c r="Q335">
        <v>0</v>
      </c>
      <c r="R335">
        <v>5214</v>
      </c>
      <c r="S335">
        <v>3.3050000000000002</v>
      </c>
      <c r="T335">
        <v>3.85</v>
      </c>
      <c r="U335">
        <v>3.3</v>
      </c>
      <c r="W335" t="s">
        <v>54</v>
      </c>
      <c r="X335" t="s">
        <v>55</v>
      </c>
      <c r="Y335" t="s">
        <v>56</v>
      </c>
      <c r="Z335">
        <v>0.114</v>
      </c>
      <c r="AA335">
        <v>0.29699999999999999</v>
      </c>
      <c r="AB335">
        <v>90</v>
      </c>
      <c r="AC335">
        <v>7.6</v>
      </c>
      <c r="AE335">
        <v>-86.273399999999995</v>
      </c>
      <c r="AF335">
        <v>12.147500000000001</v>
      </c>
      <c r="AG335" t="s">
        <v>63</v>
      </c>
      <c r="AH335" t="s">
        <v>83</v>
      </c>
      <c r="AI335">
        <v>2185.8890000000001</v>
      </c>
      <c r="AJ335">
        <v>4.630795</v>
      </c>
      <c r="AK335">
        <v>14000000000</v>
      </c>
      <c r="AL335">
        <v>42.71416</v>
      </c>
      <c r="AN335">
        <v>-7.160209</v>
      </c>
      <c r="AO335">
        <v>55.28116</v>
      </c>
      <c r="AP335">
        <v>96.380939999999995</v>
      </c>
      <c r="AQ335">
        <v>7.510567</v>
      </c>
      <c r="AR335">
        <v>14.41058</v>
      </c>
      <c r="AS335">
        <v>6.7280300000000001E-2</v>
      </c>
      <c r="AT335">
        <v>1.3480730000000001</v>
      </c>
      <c r="AU335">
        <v>3.5344E-2</v>
      </c>
      <c r="AV335">
        <v>1.3480730000000001</v>
      </c>
      <c r="AW335">
        <v>23.359210000000001</v>
      </c>
      <c r="AX335">
        <v>0.32999990000000001</v>
      </c>
      <c r="AY335">
        <v>2.7727489280609801</v>
      </c>
      <c r="AZ335" s="1" t="s">
        <v>101</v>
      </c>
      <c r="BA335" s="1" t="s">
        <v>101</v>
      </c>
      <c r="BB335" s="1" t="s">
        <v>101</v>
      </c>
      <c r="BC335" s="1" t="s">
        <v>101</v>
      </c>
      <c r="BD335" s="2">
        <v>96.380586434332997</v>
      </c>
      <c r="BE335" s="2">
        <f t="shared" si="10"/>
        <v>2.5668586193839928</v>
      </c>
      <c r="BF335" s="2">
        <f t="shared" si="11"/>
        <v>2.7361226114446864</v>
      </c>
      <c r="BG335">
        <v>36193</v>
      </c>
      <c r="BH335" s="3">
        <v>4295</v>
      </c>
      <c r="BI335">
        <v>13.464794030973728</v>
      </c>
      <c r="BJ335" s="3">
        <v>36193</v>
      </c>
      <c r="BK335">
        <v>4295</v>
      </c>
      <c r="BL335">
        <v>13.464794030973728</v>
      </c>
      <c r="BM335" s="3">
        <v>970.9</v>
      </c>
      <c r="BN335">
        <v>47.100000000000023</v>
      </c>
      <c r="BO335">
        <v>5.0985061701667052</v>
      </c>
      <c r="BP335">
        <v>3863665191.2976098</v>
      </c>
      <c r="BQ335">
        <v>77771877.109560013</v>
      </c>
      <c r="BR335">
        <v>2.0542543240217941</v>
      </c>
      <c r="BS335">
        <v>5.0278700000000003E-2</v>
      </c>
      <c r="BT335">
        <v>0.77238200000000001</v>
      </c>
      <c r="BU335">
        <v>3.1704546922922998</v>
      </c>
    </row>
    <row r="336" spans="1:73" x14ac:dyDescent="0.2">
      <c r="A336">
        <v>306</v>
      </c>
      <c r="B336" t="s">
        <v>87</v>
      </c>
      <c r="C336">
        <v>2018</v>
      </c>
      <c r="D336">
        <v>12</v>
      </c>
      <c r="E336">
        <v>0</v>
      </c>
      <c r="F336" t="s">
        <v>88</v>
      </c>
      <c r="G336">
        <v>0.69099999999999995</v>
      </c>
      <c r="H336">
        <v>0</v>
      </c>
      <c r="I336">
        <v>4.6719999999999997</v>
      </c>
      <c r="J336">
        <v>4.8230000000000004</v>
      </c>
      <c r="K336">
        <v>4.8029999999999999</v>
      </c>
      <c r="L336">
        <v>4.88</v>
      </c>
      <c r="M336">
        <v>1.5229999999999999</v>
      </c>
      <c r="N336">
        <v>1.5720000000000001</v>
      </c>
      <c r="O336">
        <v>1.4430000000000001</v>
      </c>
      <c r="P336">
        <v>5.625</v>
      </c>
      <c r="Q336">
        <v>0</v>
      </c>
      <c r="R336">
        <v>4952.5</v>
      </c>
      <c r="S336">
        <v>-5.1479999999999997</v>
      </c>
      <c r="T336">
        <v>4.95</v>
      </c>
      <c r="U336">
        <v>5.2</v>
      </c>
      <c r="W336" t="s">
        <v>54</v>
      </c>
      <c r="X336" t="s">
        <v>55</v>
      </c>
      <c r="Y336" t="s">
        <v>56</v>
      </c>
      <c r="Z336">
        <v>6.3E-2</v>
      </c>
      <c r="AA336">
        <v>0.24099999999999999</v>
      </c>
      <c r="AB336">
        <v>90</v>
      </c>
      <c r="AC336">
        <v>7.6</v>
      </c>
      <c r="AE336">
        <v>-86.273399999999995</v>
      </c>
      <c r="AF336">
        <v>12.147500000000001</v>
      </c>
      <c r="AG336" t="s">
        <v>63</v>
      </c>
      <c r="AH336" t="s">
        <v>83</v>
      </c>
      <c r="AI336">
        <v>2086.0100000000002</v>
      </c>
      <c r="AJ336">
        <v>-3.3637060000000001</v>
      </c>
      <c r="AK336">
        <v>13500000000</v>
      </c>
      <c r="AL336">
        <v>39.857019999999999</v>
      </c>
      <c r="AN336">
        <v>-1.79728</v>
      </c>
      <c r="AO336">
        <v>54.916679999999999</v>
      </c>
      <c r="AP336">
        <v>93.984499999999997</v>
      </c>
      <c r="AQ336">
        <v>6.4305919999999999</v>
      </c>
      <c r="AR336">
        <v>14.802379999999999</v>
      </c>
      <c r="AS336">
        <v>7.9945009999999996</v>
      </c>
      <c r="AT336">
        <v>1.599388</v>
      </c>
      <c r="AU336">
        <v>2.082249</v>
      </c>
      <c r="AV336">
        <v>1.599388</v>
      </c>
      <c r="AW336">
        <v>23.324999999999999</v>
      </c>
      <c r="AX336">
        <v>1.1000000000000001</v>
      </c>
      <c r="AY336">
        <v>3.7692552008893099</v>
      </c>
      <c r="AZ336" s="1" t="s">
        <v>101</v>
      </c>
      <c r="BA336" s="1" t="s">
        <v>101</v>
      </c>
      <c r="BB336" s="1" t="s">
        <v>101</v>
      </c>
      <c r="BC336" s="1" t="s">
        <v>101</v>
      </c>
      <c r="BD336" s="2">
        <v>93.984740490733003</v>
      </c>
      <c r="BE336" s="2">
        <f t="shared" si="10"/>
        <v>2.3958459435999941</v>
      </c>
      <c r="BF336" s="2">
        <f t="shared" si="11"/>
        <v>2.4858179766652033</v>
      </c>
      <c r="BG336">
        <v>31257</v>
      </c>
      <c r="BH336" s="3">
        <v>4936</v>
      </c>
      <c r="BI336">
        <v>13.637996297626612</v>
      </c>
      <c r="BJ336" s="3">
        <v>31257</v>
      </c>
      <c r="BK336">
        <v>4936</v>
      </c>
      <c r="BL336">
        <v>13.637996297626612</v>
      </c>
      <c r="BM336" s="3">
        <v>762.5</v>
      </c>
      <c r="BN336">
        <v>208.39999999999998</v>
      </c>
      <c r="BO336">
        <v>21.464620455247704</v>
      </c>
      <c r="BP336">
        <v>3013937994.6996198</v>
      </c>
      <c r="BQ336">
        <v>849727196.59799004</v>
      </c>
      <c r="BR336">
        <v>21.992775111877894</v>
      </c>
      <c r="BS336">
        <v>0.39179989999999998</v>
      </c>
      <c r="BT336">
        <v>0.62900880000000003</v>
      </c>
      <c r="BU336">
        <v>3.7994635696631498</v>
      </c>
    </row>
    <row r="337" spans="1:73" x14ac:dyDescent="0.2">
      <c r="A337">
        <v>307</v>
      </c>
      <c r="B337" t="s">
        <v>87</v>
      </c>
      <c r="C337">
        <v>2019</v>
      </c>
      <c r="D337">
        <v>12</v>
      </c>
      <c r="E337">
        <v>0</v>
      </c>
      <c r="F337" t="s">
        <v>88</v>
      </c>
      <c r="G337">
        <v>0.69099999999999995</v>
      </c>
      <c r="H337">
        <v>0</v>
      </c>
      <c r="I337">
        <v>4.6719999999999997</v>
      </c>
      <c r="J337">
        <v>4.8230000000000004</v>
      </c>
      <c r="K337">
        <v>4.8029999999999999</v>
      </c>
      <c r="L337">
        <v>4.88</v>
      </c>
      <c r="M337">
        <v>1.5229999999999999</v>
      </c>
      <c r="N337">
        <v>1.5720000000000001</v>
      </c>
      <c r="O337">
        <v>1.4430000000000001</v>
      </c>
      <c r="P337">
        <v>5.625</v>
      </c>
      <c r="Q337">
        <v>0</v>
      </c>
      <c r="S337">
        <v>-5.0540000000000003</v>
      </c>
      <c r="T337">
        <v>5.38</v>
      </c>
      <c r="W337" t="s">
        <v>54</v>
      </c>
      <c r="X337" t="s">
        <v>55</v>
      </c>
      <c r="Y337" t="s">
        <v>56</v>
      </c>
      <c r="Z337">
        <v>5.8000000000000003E-2</v>
      </c>
      <c r="AA337">
        <v>0.23499999999999999</v>
      </c>
      <c r="AB337">
        <v>90</v>
      </c>
      <c r="AC337">
        <v>7.6</v>
      </c>
      <c r="AE337">
        <v>-86.273399999999995</v>
      </c>
      <c r="AF337">
        <v>12.147500000000001</v>
      </c>
      <c r="AG337" t="s">
        <v>63</v>
      </c>
      <c r="AH337" t="s">
        <v>83</v>
      </c>
      <c r="AI337">
        <v>1982.6289999999999</v>
      </c>
      <c r="AJ337">
        <v>-3.7798889999999998</v>
      </c>
      <c r="AK337">
        <v>13000000000</v>
      </c>
      <c r="AL337">
        <v>33.057690000000001</v>
      </c>
      <c r="AN337">
        <v>5.9865190000000004</v>
      </c>
      <c r="AO337">
        <v>54.590179999999997</v>
      </c>
      <c r="AP337">
        <v>94.675979999999996</v>
      </c>
      <c r="AQ337">
        <v>3.9931290000000002</v>
      </c>
      <c r="AR337">
        <v>15.09796</v>
      </c>
      <c r="AS337">
        <v>0.41618349999999998</v>
      </c>
      <c r="AT337">
        <v>1.682688</v>
      </c>
      <c r="AU337">
        <v>2.082249</v>
      </c>
      <c r="AV337">
        <v>1.682688</v>
      </c>
      <c r="AW337">
        <v>23.286470000000001</v>
      </c>
      <c r="AX337">
        <v>0.4300003</v>
      </c>
      <c r="AY337">
        <v>3.7692552008893099</v>
      </c>
      <c r="AZ337" s="1" t="s">
        <v>101</v>
      </c>
      <c r="BA337" s="1" t="s">
        <v>101</v>
      </c>
      <c r="BB337" s="1" t="s">
        <v>101</v>
      </c>
      <c r="BC337" s="1" t="s">
        <v>101</v>
      </c>
      <c r="BD337" s="2">
        <v>94.675984035807005</v>
      </c>
      <c r="BE337" s="2">
        <f t="shared" si="10"/>
        <v>0.69124354507400199</v>
      </c>
      <c r="BF337" s="2">
        <f t="shared" si="11"/>
        <v>0.73548486856987105</v>
      </c>
      <c r="BG337">
        <v>37527</v>
      </c>
      <c r="BH337" s="3">
        <v>6270</v>
      </c>
      <c r="BI337">
        <v>20.059506670505808</v>
      </c>
      <c r="BJ337" s="3">
        <v>37527</v>
      </c>
      <c r="BK337">
        <v>6270</v>
      </c>
      <c r="BL337">
        <v>20.059506670505808</v>
      </c>
      <c r="BM337" s="3">
        <v>443.9</v>
      </c>
      <c r="BN337">
        <v>318.60000000000002</v>
      </c>
      <c r="BO337">
        <v>41.783606557377055</v>
      </c>
      <c r="BP337">
        <v>2274966283.8067698</v>
      </c>
      <c r="BQ337">
        <v>738971710.89284992</v>
      </c>
      <c r="BR337">
        <v>24.518477559671844</v>
      </c>
      <c r="BS337">
        <v>0.29557899999999998</v>
      </c>
      <c r="BT337">
        <v>1.85436</v>
      </c>
      <c r="BU337">
        <v>1.9451034153082001</v>
      </c>
    </row>
    <row r="338" spans="1:73" x14ac:dyDescent="0.2">
      <c r="A338">
        <v>308</v>
      </c>
      <c r="B338" t="s">
        <v>89</v>
      </c>
      <c r="C338">
        <v>1992</v>
      </c>
      <c r="D338">
        <v>13</v>
      </c>
      <c r="E338">
        <v>0</v>
      </c>
      <c r="F338" t="s">
        <v>90</v>
      </c>
      <c r="G338">
        <v>0.21762000000000001</v>
      </c>
      <c r="H338">
        <v>1</v>
      </c>
      <c r="O338">
        <v>-0.751</v>
      </c>
      <c r="Q338">
        <v>0</v>
      </c>
      <c r="R338">
        <v>8148.6</v>
      </c>
      <c r="S338">
        <v>5.9820000000000002</v>
      </c>
      <c r="T338">
        <v>1.82</v>
      </c>
      <c r="U338">
        <v>14.67</v>
      </c>
      <c r="W338" t="s">
        <v>54</v>
      </c>
      <c r="X338" t="s">
        <v>55</v>
      </c>
      <c r="Y338" t="s">
        <v>56</v>
      </c>
      <c r="Z338">
        <v>0.53300000000000003</v>
      </c>
      <c r="AA338">
        <v>0.71299999999999997</v>
      </c>
      <c r="AB338">
        <v>72</v>
      </c>
      <c r="AE338">
        <v>-79.518799999999999</v>
      </c>
      <c r="AF338">
        <v>8.9942700000000002</v>
      </c>
      <c r="AG338" t="s">
        <v>70</v>
      </c>
      <c r="AH338" t="s">
        <v>58</v>
      </c>
      <c r="AI338">
        <v>5839.8829999999998</v>
      </c>
      <c r="AJ338">
        <v>8.2016799999999996</v>
      </c>
      <c r="AK338">
        <v>15000000000</v>
      </c>
      <c r="AN338">
        <v>-3.2851149999999998</v>
      </c>
      <c r="AO338">
        <v>66.208169999999996</v>
      </c>
      <c r="AP338">
        <v>144.8792</v>
      </c>
      <c r="AQ338">
        <v>1.871346</v>
      </c>
      <c r="AR338">
        <v>15.16649</v>
      </c>
      <c r="AT338">
        <v>0.59883649999999999</v>
      </c>
      <c r="AU338">
        <v>0.56400099999999997</v>
      </c>
      <c r="AV338">
        <v>0.59883649999999999</v>
      </c>
      <c r="AW338">
        <v>23.434190000000001</v>
      </c>
      <c r="AY338">
        <v>2.0271557884706999</v>
      </c>
      <c r="AZ338" s="1">
        <v>8.3000004291534396E-2</v>
      </c>
      <c r="BA338" s="1">
        <v>0.39100000262260398</v>
      </c>
      <c r="BB338" s="1">
        <v>0.47400000691413902</v>
      </c>
      <c r="BC338" s="1">
        <v>3.7191383999999998</v>
      </c>
      <c r="BD338" s="2">
        <v>169.929325750066</v>
      </c>
      <c r="BE338" s="2"/>
      <c r="BF338" s="2"/>
      <c r="BH338" s="3"/>
      <c r="BM338" s="3">
        <v>144.5</v>
      </c>
      <c r="BN338">
        <v>36</v>
      </c>
      <c r="BO338">
        <v>33.179723502304149</v>
      </c>
      <c r="BP338">
        <v>2134915960.6303799</v>
      </c>
      <c r="BQ338">
        <v>630613700.41772985</v>
      </c>
      <c r="BR338">
        <v>41.920677585672543</v>
      </c>
      <c r="BU338">
        <v>1.2925362423347999</v>
      </c>
    </row>
    <row r="339" spans="1:73" x14ac:dyDescent="0.2">
      <c r="A339">
        <v>309</v>
      </c>
      <c r="B339" t="s">
        <v>89</v>
      </c>
      <c r="C339">
        <v>1993</v>
      </c>
      <c r="D339">
        <v>13</v>
      </c>
      <c r="E339">
        <v>0</v>
      </c>
      <c r="F339" t="s">
        <v>90</v>
      </c>
      <c r="G339">
        <v>0.21762000000000001</v>
      </c>
      <c r="H339">
        <v>0</v>
      </c>
      <c r="O339">
        <v>-0.751</v>
      </c>
      <c r="Q339">
        <v>0</v>
      </c>
      <c r="R339">
        <v>8450.7000000000007</v>
      </c>
      <c r="S339">
        <v>3.3050000000000002</v>
      </c>
      <c r="T339">
        <v>0.45</v>
      </c>
      <c r="U339">
        <v>13.26</v>
      </c>
      <c r="W339" t="s">
        <v>54</v>
      </c>
      <c r="X339" t="s">
        <v>55</v>
      </c>
      <c r="Y339" t="s">
        <v>56</v>
      </c>
      <c r="Z339">
        <v>0.53400000000000003</v>
      </c>
      <c r="AA339">
        <v>0.72</v>
      </c>
      <c r="AB339">
        <v>72</v>
      </c>
      <c r="AE339">
        <v>-79.518799999999999</v>
      </c>
      <c r="AF339">
        <v>8.9942700000000002</v>
      </c>
      <c r="AG339" t="s">
        <v>70</v>
      </c>
      <c r="AH339" t="s">
        <v>58</v>
      </c>
      <c r="AI339">
        <v>6032.8789999999999</v>
      </c>
      <c r="AJ339">
        <v>5.4557440000000001</v>
      </c>
      <c r="AK339">
        <v>15900000000</v>
      </c>
      <c r="AN339">
        <v>-1.089656</v>
      </c>
      <c r="AO339">
        <v>65.124920000000003</v>
      </c>
      <c r="AP339">
        <v>139.67920000000001</v>
      </c>
      <c r="AQ339">
        <v>2.015352</v>
      </c>
      <c r="AR339">
        <v>14.44586</v>
      </c>
      <c r="AS339">
        <v>2.7459359999999999</v>
      </c>
      <c r="AT339">
        <v>-0.79850779999999999</v>
      </c>
      <c r="AU339">
        <v>0.56400099999999997</v>
      </c>
      <c r="AV339">
        <v>-0.79850779999999999</v>
      </c>
      <c r="AW339">
        <v>23.48732</v>
      </c>
      <c r="AX339">
        <v>1.37</v>
      </c>
      <c r="AY339">
        <v>2.0271557884706999</v>
      </c>
      <c r="AZ339" s="1">
        <v>8.3000004291534396E-2</v>
      </c>
      <c r="BA339" s="1">
        <v>0.39100000262260398</v>
      </c>
      <c r="BB339" s="1">
        <v>0.47400000691413902</v>
      </c>
      <c r="BC339" s="1">
        <v>3.7191383999999998</v>
      </c>
      <c r="BD339" s="2">
        <v>164.185101604599</v>
      </c>
      <c r="BE339" s="2">
        <f t="shared" si="10"/>
        <v>5.7442241454670011</v>
      </c>
      <c r="BF339" s="2">
        <f t="shared" si="11"/>
        <v>3.38036070002165</v>
      </c>
      <c r="BH339" s="3"/>
      <c r="BM339" s="3">
        <v>169.6</v>
      </c>
      <c r="BN339">
        <v>25.099999999999994</v>
      </c>
      <c r="BO339">
        <v>17.370242214532869</v>
      </c>
      <c r="BP339">
        <v>3013208979.7017298</v>
      </c>
      <c r="BQ339">
        <v>878293019.07134986</v>
      </c>
      <c r="BR339">
        <v>41.139465687071585</v>
      </c>
      <c r="BS339">
        <v>0.72063829999999995</v>
      </c>
      <c r="BT339">
        <v>3.7577210000000001</v>
      </c>
      <c r="BU339">
        <v>-2.4651844962279599</v>
      </c>
    </row>
    <row r="340" spans="1:73" x14ac:dyDescent="0.2">
      <c r="A340">
        <v>310</v>
      </c>
      <c r="B340" t="s">
        <v>89</v>
      </c>
      <c r="C340">
        <v>1994</v>
      </c>
      <c r="D340">
        <v>13</v>
      </c>
      <c r="E340">
        <v>0</v>
      </c>
      <c r="F340" t="s">
        <v>90</v>
      </c>
      <c r="G340">
        <v>0.21762000000000001</v>
      </c>
      <c r="H340">
        <v>0</v>
      </c>
      <c r="O340">
        <v>-0.751</v>
      </c>
      <c r="Q340">
        <v>1</v>
      </c>
      <c r="R340">
        <v>8549.7000000000007</v>
      </c>
      <c r="S340">
        <v>0.76</v>
      </c>
      <c r="T340">
        <v>1.27</v>
      </c>
      <c r="U340">
        <v>14</v>
      </c>
      <c r="W340" t="s">
        <v>54</v>
      </c>
      <c r="X340" t="s">
        <v>55</v>
      </c>
      <c r="Y340" t="s">
        <v>56</v>
      </c>
      <c r="Z340">
        <v>0.54300000000000004</v>
      </c>
      <c r="AA340">
        <v>0.72499999999999998</v>
      </c>
      <c r="AB340">
        <v>72</v>
      </c>
      <c r="AE340">
        <v>-79.518799999999999</v>
      </c>
      <c r="AF340">
        <v>8.9942700000000002</v>
      </c>
      <c r="AG340" t="s">
        <v>70</v>
      </c>
      <c r="AH340" t="s">
        <v>58</v>
      </c>
      <c r="AI340">
        <v>6078.7619999999997</v>
      </c>
      <c r="AJ340">
        <v>2.8501470000000002</v>
      </c>
      <c r="AK340">
        <v>16300000000</v>
      </c>
      <c r="AN340">
        <v>0.1697758</v>
      </c>
      <c r="AO340">
        <v>64.132750000000001</v>
      </c>
      <c r="AP340">
        <v>143.60900000000001</v>
      </c>
      <c r="AQ340">
        <v>4.2871069999999998</v>
      </c>
      <c r="AR340">
        <v>14.1206</v>
      </c>
      <c r="AS340">
        <v>2.6055969999999999</v>
      </c>
      <c r="AT340">
        <v>0.2390169</v>
      </c>
      <c r="AU340">
        <v>0.56400099999999997</v>
      </c>
      <c r="AV340">
        <v>0.2390169</v>
      </c>
      <c r="AW340">
        <v>23.515419999999999</v>
      </c>
      <c r="AX340">
        <v>0.82</v>
      </c>
      <c r="AY340">
        <v>2.0271557884706999</v>
      </c>
      <c r="AZ340" s="1">
        <v>0.27099999785423301</v>
      </c>
      <c r="BA340" s="1">
        <v>0.27750000357627902</v>
      </c>
      <c r="BB340" s="1">
        <v>0.54850000143051203</v>
      </c>
      <c r="BC340" s="1">
        <v>4.3272123000000002</v>
      </c>
      <c r="BD340" s="2">
        <v>168.60538940521801</v>
      </c>
      <c r="BE340" s="2">
        <f t="shared" si="10"/>
        <v>4.4202878006190076</v>
      </c>
      <c r="BF340" s="2">
        <f t="shared" si="11"/>
        <v>2.6922587722144398</v>
      </c>
      <c r="BH340" s="3"/>
      <c r="BM340" s="3">
        <v>401.5</v>
      </c>
      <c r="BN340">
        <v>231.9</v>
      </c>
      <c r="BO340">
        <v>136.73349056603774</v>
      </c>
      <c r="BP340">
        <v>3183188780.8034501</v>
      </c>
      <c r="BQ340">
        <v>169979801.10172033</v>
      </c>
      <c r="BR340">
        <v>5.641155400995328</v>
      </c>
      <c r="BS340">
        <v>0.32525730000000003</v>
      </c>
      <c r="BT340">
        <v>5.7246069999999998</v>
      </c>
      <c r="BU340">
        <v>3.2594224093416502</v>
      </c>
    </row>
    <row r="341" spans="1:73" x14ac:dyDescent="0.2">
      <c r="A341">
        <v>311</v>
      </c>
      <c r="B341" t="s">
        <v>89</v>
      </c>
      <c r="C341">
        <v>1995</v>
      </c>
      <c r="D341">
        <v>13</v>
      </c>
      <c r="E341">
        <v>0</v>
      </c>
      <c r="F341" t="s">
        <v>90</v>
      </c>
      <c r="G341">
        <v>0.21762000000000001</v>
      </c>
      <c r="H341">
        <v>1</v>
      </c>
      <c r="O341">
        <v>-0.751</v>
      </c>
      <c r="Q341">
        <v>0</v>
      </c>
      <c r="R341">
        <v>8555.7999999999993</v>
      </c>
      <c r="S341">
        <v>-0.312</v>
      </c>
      <c r="T341">
        <v>0.99</v>
      </c>
      <c r="U341">
        <v>14.01</v>
      </c>
      <c r="V341">
        <v>57.8</v>
      </c>
      <c r="W341" t="s">
        <v>54</v>
      </c>
      <c r="X341" t="s">
        <v>91</v>
      </c>
      <c r="Y341" t="s">
        <v>56</v>
      </c>
      <c r="Z341">
        <v>0.54600000000000004</v>
      </c>
      <c r="AA341">
        <v>0.72499999999999998</v>
      </c>
      <c r="AB341">
        <v>72</v>
      </c>
      <c r="AE341">
        <v>-79.518799999999999</v>
      </c>
      <c r="AF341">
        <v>8.9942700000000002</v>
      </c>
      <c r="AG341" t="s">
        <v>70</v>
      </c>
      <c r="AH341" t="s">
        <v>58</v>
      </c>
      <c r="AI341">
        <v>6059.83</v>
      </c>
      <c r="AJ341">
        <v>1.751679</v>
      </c>
      <c r="AK341">
        <v>16600000000</v>
      </c>
      <c r="AN341">
        <v>-4.9154920000000004</v>
      </c>
      <c r="AO341">
        <v>63.258299999999998</v>
      </c>
      <c r="AP341">
        <v>146.90539999999999</v>
      </c>
      <c r="AQ341">
        <v>2.9382229999999998</v>
      </c>
      <c r="AR341">
        <v>14.40789</v>
      </c>
      <c r="AS341">
        <v>1.098468</v>
      </c>
      <c r="AT341">
        <v>-1.00503E-2</v>
      </c>
      <c r="AU341">
        <v>0.56400099999999997</v>
      </c>
      <c r="AV341">
        <v>-1.00503E-2</v>
      </c>
      <c r="AW341">
        <v>23.532779999999999</v>
      </c>
      <c r="AX341">
        <v>0.28000000000000003</v>
      </c>
      <c r="AY341">
        <v>2.0271557884706999</v>
      </c>
      <c r="AZ341" s="1">
        <v>0.27099999785423301</v>
      </c>
      <c r="BA341" s="1">
        <v>0.27750000357627902</v>
      </c>
      <c r="BB341" s="1">
        <v>0.54850000143051203</v>
      </c>
      <c r="BC341" s="1">
        <v>4.3272123000000002</v>
      </c>
      <c r="BD341" s="2">
        <v>172.233976727834</v>
      </c>
      <c r="BE341" s="2">
        <f t="shared" si="10"/>
        <v>3.6285873226159993</v>
      </c>
      <c r="BF341" s="2">
        <f t="shared" si="11"/>
        <v>2.1521182302750885</v>
      </c>
      <c r="BH341" s="3"/>
      <c r="BM341" s="3">
        <v>223</v>
      </c>
      <c r="BN341">
        <v>178.5</v>
      </c>
      <c r="BO341">
        <v>44.458281444582816</v>
      </c>
      <c r="BP341">
        <v>3427414917.83038</v>
      </c>
      <c r="BQ341">
        <v>244226137.02692986</v>
      </c>
      <c r="BR341">
        <v>7.6723736430512979</v>
      </c>
      <c r="BS341">
        <v>0.28729250000000001</v>
      </c>
      <c r="BT341">
        <v>6.9617319999999996</v>
      </c>
      <c r="BU341">
        <v>10.221154572834401</v>
      </c>
    </row>
    <row r="342" spans="1:73" x14ac:dyDescent="0.2">
      <c r="A342">
        <v>312</v>
      </c>
      <c r="B342" t="s">
        <v>89</v>
      </c>
      <c r="C342">
        <v>1996</v>
      </c>
      <c r="D342">
        <v>13</v>
      </c>
      <c r="E342">
        <v>0</v>
      </c>
      <c r="F342" t="s">
        <v>90</v>
      </c>
      <c r="G342">
        <v>0.21762000000000001</v>
      </c>
      <c r="H342">
        <v>0</v>
      </c>
      <c r="O342">
        <v>-0.751</v>
      </c>
      <c r="P342">
        <v>5.8250000000000002</v>
      </c>
      <c r="Q342">
        <v>0</v>
      </c>
      <c r="R342">
        <v>8652.1</v>
      </c>
      <c r="S342">
        <v>1.972</v>
      </c>
      <c r="T342">
        <v>1.26</v>
      </c>
      <c r="U342">
        <v>14.32</v>
      </c>
      <c r="W342" t="s">
        <v>54</v>
      </c>
      <c r="X342" t="s">
        <v>91</v>
      </c>
      <c r="Y342" t="s">
        <v>56</v>
      </c>
      <c r="Z342">
        <v>0.54600000000000004</v>
      </c>
      <c r="AA342">
        <v>0.72499999999999998</v>
      </c>
      <c r="AB342">
        <v>72</v>
      </c>
      <c r="AE342">
        <v>-79.518799999999999</v>
      </c>
      <c r="AF342">
        <v>8.9942700000000002</v>
      </c>
      <c r="AG342" t="s">
        <v>70</v>
      </c>
      <c r="AH342" t="s">
        <v>58</v>
      </c>
      <c r="AI342">
        <v>6179.3360000000002</v>
      </c>
      <c r="AJ342">
        <v>4.0797030000000003</v>
      </c>
      <c r="AK342">
        <v>17300000000</v>
      </c>
      <c r="AN342">
        <v>-2.0323199999999999</v>
      </c>
      <c r="AO342">
        <v>62.450200000000002</v>
      </c>
      <c r="AP342">
        <v>156.00659999999999</v>
      </c>
      <c r="AQ342">
        <v>4.3391950000000001</v>
      </c>
      <c r="AR342">
        <v>14.295260000000001</v>
      </c>
      <c r="AS342">
        <v>2.3280249999999998</v>
      </c>
      <c r="AT342">
        <v>0.2311117</v>
      </c>
      <c r="AU342">
        <v>0.56400099999999997</v>
      </c>
      <c r="AV342">
        <v>0.2311117</v>
      </c>
      <c r="AW342">
        <v>23.572769999999998</v>
      </c>
      <c r="AX342">
        <v>0.27</v>
      </c>
      <c r="AY342">
        <v>2.0271557884706999</v>
      </c>
      <c r="AZ342" s="1">
        <v>0.27099999785423301</v>
      </c>
      <c r="BA342" s="1">
        <v>0.27750000357627902</v>
      </c>
      <c r="BB342" s="1">
        <v>0.54850000143051203</v>
      </c>
      <c r="BC342" s="1">
        <v>4.3272123000000002</v>
      </c>
      <c r="BD342" s="2">
        <v>160.237835531472</v>
      </c>
      <c r="BE342" s="2">
        <f t="shared" si="10"/>
        <v>11.996141196362004</v>
      </c>
      <c r="BF342" s="2">
        <f t="shared" si="11"/>
        <v>6.9650259630934706</v>
      </c>
      <c r="BH342" s="3"/>
      <c r="BM342" s="3">
        <v>415.5</v>
      </c>
      <c r="BN342">
        <v>192.5</v>
      </c>
      <c r="BO342">
        <v>86.322869955156946</v>
      </c>
      <c r="BP342">
        <v>3684793340.3498201</v>
      </c>
      <c r="BQ342">
        <v>257378422.51944017</v>
      </c>
      <c r="BR342">
        <v>7.509403696076741</v>
      </c>
      <c r="BS342">
        <v>0.1126308</v>
      </c>
      <c r="BT342">
        <v>4.7890389999999998</v>
      </c>
      <c r="BU342">
        <v>5.43211540779369</v>
      </c>
    </row>
    <row r="343" spans="1:73" x14ac:dyDescent="0.2">
      <c r="A343">
        <v>313</v>
      </c>
      <c r="B343" t="s">
        <v>89</v>
      </c>
      <c r="C343">
        <v>1997</v>
      </c>
      <c r="D343">
        <v>13</v>
      </c>
      <c r="E343">
        <v>0</v>
      </c>
      <c r="F343" t="s">
        <v>90</v>
      </c>
      <c r="G343">
        <v>0.21762000000000001</v>
      </c>
      <c r="H343">
        <v>0</v>
      </c>
      <c r="O343">
        <v>-0.751</v>
      </c>
      <c r="P343">
        <v>5.7549999999999999</v>
      </c>
      <c r="Q343">
        <v>0</v>
      </c>
      <c r="R343">
        <v>9054.7000000000007</v>
      </c>
      <c r="S343">
        <v>4.3109999999999999</v>
      </c>
      <c r="T343">
        <v>1.32</v>
      </c>
      <c r="U343">
        <v>13.37</v>
      </c>
      <c r="V343">
        <v>58.2</v>
      </c>
      <c r="W343" t="s">
        <v>54</v>
      </c>
      <c r="X343" t="s">
        <v>91</v>
      </c>
      <c r="Y343" t="s">
        <v>56</v>
      </c>
      <c r="Z343">
        <v>0.54600000000000004</v>
      </c>
      <c r="AA343">
        <v>0.72499999999999998</v>
      </c>
      <c r="AB343">
        <v>72</v>
      </c>
      <c r="AC343">
        <v>1</v>
      </c>
      <c r="AE343">
        <v>-79.518799999999999</v>
      </c>
      <c r="AF343">
        <v>8.9942700000000002</v>
      </c>
      <c r="AG343" t="s">
        <v>70</v>
      </c>
      <c r="AH343" t="s">
        <v>58</v>
      </c>
      <c r="AI343">
        <v>6445.7709999999997</v>
      </c>
      <c r="AJ343">
        <v>6.4609899999999998</v>
      </c>
      <c r="AK343">
        <v>18400000000</v>
      </c>
      <c r="AN343">
        <v>-4.7455879999999997</v>
      </c>
      <c r="AO343">
        <v>61.777859999999997</v>
      </c>
      <c r="AP343">
        <v>165.34370000000001</v>
      </c>
      <c r="AQ343">
        <v>12.28964</v>
      </c>
      <c r="AR343">
        <v>13.257149999999999</v>
      </c>
      <c r="AS343">
        <v>2.3812869999999999</v>
      </c>
      <c r="AT343">
        <v>0.27763179999999998</v>
      </c>
      <c r="AU343">
        <v>0.56400099999999997</v>
      </c>
      <c r="AV343">
        <v>0.27763179999999998</v>
      </c>
      <c r="AW343">
        <v>23.635380000000001</v>
      </c>
      <c r="AX343">
        <v>6.0000100000000001E-2</v>
      </c>
      <c r="AY343">
        <v>2.0271557884706999</v>
      </c>
      <c r="AZ343" s="1">
        <v>0.27099999785423301</v>
      </c>
      <c r="BA343" s="1">
        <v>0.27750000357627902</v>
      </c>
      <c r="BB343" s="1">
        <v>0.54850000143051203</v>
      </c>
      <c r="BC343" s="1">
        <v>4.3272123000000002</v>
      </c>
      <c r="BD343" s="2">
        <v>169.83575174452901</v>
      </c>
      <c r="BE343" s="2">
        <f t="shared" si="10"/>
        <v>9.5979162130570046</v>
      </c>
      <c r="BF343" s="2">
        <f t="shared" si="11"/>
        <v>5.9897939717064492</v>
      </c>
      <c r="BH343" s="3"/>
      <c r="BM343" s="3">
        <v>1299.3</v>
      </c>
      <c r="BN343">
        <v>883.8</v>
      </c>
      <c r="BO343">
        <v>212.70758122743683</v>
      </c>
      <c r="BP343">
        <v>3955503162.0490699</v>
      </c>
      <c r="BQ343">
        <v>270709821.69924974</v>
      </c>
      <c r="BR343">
        <v>7.3466758294116321</v>
      </c>
      <c r="BS343">
        <v>1.0381130000000001</v>
      </c>
      <c r="BT343">
        <v>4.5212659999999998</v>
      </c>
      <c r="BU343">
        <v>0.91084982127659897</v>
      </c>
    </row>
    <row r="344" spans="1:73" x14ac:dyDescent="0.2">
      <c r="A344">
        <v>314</v>
      </c>
      <c r="B344" t="s">
        <v>89</v>
      </c>
      <c r="C344">
        <v>1998</v>
      </c>
      <c r="D344">
        <v>13</v>
      </c>
      <c r="E344">
        <v>0</v>
      </c>
      <c r="F344" t="s">
        <v>90</v>
      </c>
      <c r="G344">
        <v>0.21762000000000001</v>
      </c>
      <c r="H344">
        <v>0</v>
      </c>
      <c r="O344">
        <v>-0.751</v>
      </c>
      <c r="P344">
        <v>5.1639999999999997</v>
      </c>
      <c r="Q344">
        <v>0</v>
      </c>
      <c r="R344">
        <v>9560.2999999999993</v>
      </c>
      <c r="S344">
        <v>5.1890000000000001</v>
      </c>
      <c r="T344">
        <v>0.56000000000000005</v>
      </c>
      <c r="U344">
        <v>14.02</v>
      </c>
      <c r="V344">
        <v>57.5</v>
      </c>
      <c r="W344" t="s">
        <v>54</v>
      </c>
      <c r="X344" t="s">
        <v>91</v>
      </c>
      <c r="Y344" t="s">
        <v>56</v>
      </c>
      <c r="Z344">
        <v>0.54100000000000004</v>
      </c>
      <c r="AA344">
        <v>0.71799999999999997</v>
      </c>
      <c r="AB344">
        <v>72</v>
      </c>
      <c r="AC344">
        <v>1</v>
      </c>
      <c r="AE344">
        <v>-79.518799999999999</v>
      </c>
      <c r="AF344">
        <v>8.9942700000000002</v>
      </c>
      <c r="AG344" t="s">
        <v>70</v>
      </c>
      <c r="AH344" t="s">
        <v>58</v>
      </c>
      <c r="AI344">
        <v>6780.2169999999996</v>
      </c>
      <c r="AJ344">
        <v>7.3415010000000001</v>
      </c>
      <c r="AK344">
        <v>19800000000</v>
      </c>
      <c r="AN344">
        <v>-8.7771690000000007</v>
      </c>
      <c r="AO344">
        <v>61.191070000000003</v>
      </c>
      <c r="AP344">
        <v>151.26849999999999</v>
      </c>
      <c r="AQ344">
        <v>11.361940000000001</v>
      </c>
      <c r="AR344">
        <v>13.451499999999999</v>
      </c>
      <c r="AS344">
        <v>0.88051029999999997</v>
      </c>
      <c r="AT344">
        <v>-0.57981850000000001</v>
      </c>
      <c r="AU344">
        <v>0.56400099999999997</v>
      </c>
      <c r="AV344">
        <v>-0.57981850000000001</v>
      </c>
      <c r="AW344">
        <v>23.706219999999998</v>
      </c>
      <c r="AX344">
        <v>0.76000009999999996</v>
      </c>
      <c r="AY344">
        <v>2.0271557884706999</v>
      </c>
      <c r="AZ344" s="1">
        <v>0.27099999785423301</v>
      </c>
      <c r="BA344" s="1">
        <v>0.27750000357627902</v>
      </c>
      <c r="BB344" s="1">
        <v>0.54850000143051203</v>
      </c>
      <c r="BC344" s="1">
        <v>4.3272123000000002</v>
      </c>
      <c r="BD344" s="2">
        <v>155.363429424776</v>
      </c>
      <c r="BE344" s="2">
        <f t="shared" si="10"/>
        <v>14.472322319753005</v>
      </c>
      <c r="BF344" s="2">
        <f t="shared" si="11"/>
        <v>8.5213638301095855</v>
      </c>
      <c r="BH344" s="3"/>
      <c r="BM344" s="3">
        <v>1203.0999999999999</v>
      </c>
      <c r="BN344">
        <v>96.200000000000045</v>
      </c>
      <c r="BO344">
        <v>7.403986762102674</v>
      </c>
      <c r="BP344">
        <v>4537529506.6653204</v>
      </c>
      <c r="BQ344">
        <v>582026344.61625051</v>
      </c>
      <c r="BR344">
        <v>14.714344061217824</v>
      </c>
      <c r="BS344">
        <v>0.1943512</v>
      </c>
      <c r="BT344">
        <v>3.6353080000000002</v>
      </c>
      <c r="BU344">
        <v>4.5461573818136696</v>
      </c>
    </row>
    <row r="345" spans="1:73" x14ac:dyDescent="0.2">
      <c r="A345">
        <v>315</v>
      </c>
      <c r="B345" t="s">
        <v>89</v>
      </c>
      <c r="C345">
        <v>1999</v>
      </c>
      <c r="D345">
        <v>13</v>
      </c>
      <c r="E345">
        <v>1</v>
      </c>
      <c r="F345" t="s">
        <v>90</v>
      </c>
      <c r="G345">
        <v>0.21762000000000001</v>
      </c>
      <c r="H345">
        <v>0</v>
      </c>
      <c r="I345">
        <v>9.7000000000000003E-2</v>
      </c>
      <c r="J345">
        <v>0.14099999999999999</v>
      </c>
      <c r="K345">
        <v>0.69199999999999995</v>
      </c>
      <c r="L345">
        <v>0.83499999999999996</v>
      </c>
      <c r="M345">
        <v>0.224</v>
      </c>
      <c r="N345">
        <v>0.32600000000000001</v>
      </c>
      <c r="O345">
        <v>-0.64300000000000002</v>
      </c>
      <c r="P345">
        <v>5.1639999999999997</v>
      </c>
      <c r="Q345">
        <v>1</v>
      </c>
      <c r="R345">
        <v>9784.7000000000007</v>
      </c>
      <c r="S345">
        <v>1.8580000000000001</v>
      </c>
      <c r="T345">
        <v>1.25</v>
      </c>
      <c r="U345">
        <v>11.75</v>
      </c>
      <c r="V345">
        <v>56.5</v>
      </c>
      <c r="W345" t="s">
        <v>54</v>
      </c>
      <c r="X345" t="s">
        <v>91</v>
      </c>
      <c r="Y345" t="s">
        <v>56</v>
      </c>
      <c r="Z345">
        <v>0.53900000000000003</v>
      </c>
      <c r="AA345">
        <v>0.71599999999999997</v>
      </c>
      <c r="AB345">
        <v>71</v>
      </c>
      <c r="AC345">
        <v>1</v>
      </c>
      <c r="AE345">
        <v>-79.518799999999999</v>
      </c>
      <c r="AF345">
        <v>8.9942700000000002</v>
      </c>
      <c r="AG345" t="s">
        <v>70</v>
      </c>
      <c r="AH345" t="s">
        <v>58</v>
      </c>
      <c r="AI345">
        <v>6906.1880000000001</v>
      </c>
      <c r="AJ345">
        <v>3.9172069999999999</v>
      </c>
      <c r="AK345">
        <v>20500000000</v>
      </c>
      <c r="AN345">
        <v>-9.5529759999999992</v>
      </c>
      <c r="AO345">
        <v>60.613140000000001</v>
      </c>
      <c r="AP345">
        <v>126.6863</v>
      </c>
      <c r="AQ345">
        <v>8.6024589999999996</v>
      </c>
      <c r="AR345">
        <v>13.812749999999999</v>
      </c>
      <c r="AS345">
        <v>3.4242940000000002</v>
      </c>
      <c r="AT345">
        <v>0.22314349999999999</v>
      </c>
      <c r="AU345">
        <v>0.41344900000000001</v>
      </c>
      <c r="AV345">
        <v>0.22314349999999999</v>
      </c>
      <c r="AW345">
        <v>23.74465</v>
      </c>
      <c r="AX345">
        <v>0.69</v>
      </c>
      <c r="AY345">
        <v>2.1129109099571202</v>
      </c>
      <c r="AZ345" s="1">
        <v>0.12749999761581399</v>
      </c>
      <c r="BA345" s="1">
        <v>0.181999996304512</v>
      </c>
      <c r="BB345" s="1">
        <v>0.30949997901916498</v>
      </c>
      <c r="BC345" s="1">
        <v>3.2627830000000002</v>
      </c>
      <c r="BD345" s="2">
        <v>130.11684302119599</v>
      </c>
      <c r="BE345" s="2">
        <f t="shared" si="10"/>
        <v>25.246586403580011</v>
      </c>
      <c r="BF345" s="2">
        <f t="shared" si="11"/>
        <v>16.250018744471603</v>
      </c>
      <c r="BH345" s="3"/>
      <c r="BM345" s="3">
        <v>755.6</v>
      </c>
      <c r="BN345">
        <v>447.49999999999989</v>
      </c>
      <c r="BO345">
        <v>37.19557808993433</v>
      </c>
      <c r="BP345">
        <v>5041873789.1726704</v>
      </c>
      <c r="BQ345">
        <v>504344282.50734997</v>
      </c>
      <c r="BR345">
        <v>11.114953230970791</v>
      </c>
      <c r="BS345">
        <v>0.36125279999999999</v>
      </c>
      <c r="BT345">
        <v>6.6734540000000004</v>
      </c>
      <c r="BU345">
        <v>-2.1272970447119199</v>
      </c>
    </row>
    <row r="346" spans="1:73" x14ac:dyDescent="0.2">
      <c r="A346">
        <v>316</v>
      </c>
      <c r="B346" t="s">
        <v>89</v>
      </c>
      <c r="C346">
        <v>2000</v>
      </c>
      <c r="D346">
        <v>13</v>
      </c>
      <c r="E346">
        <v>0</v>
      </c>
      <c r="F346" t="s">
        <v>90</v>
      </c>
      <c r="G346">
        <v>0.21762000000000001</v>
      </c>
      <c r="H346">
        <v>1</v>
      </c>
      <c r="I346">
        <v>9.7000000000000003E-2</v>
      </c>
      <c r="J346">
        <v>0.14099999999999999</v>
      </c>
      <c r="K346">
        <v>0.69199999999999995</v>
      </c>
      <c r="L346">
        <v>0.83499999999999996</v>
      </c>
      <c r="M346">
        <v>0.224</v>
      </c>
      <c r="N346">
        <v>0.32600000000000001</v>
      </c>
      <c r="O346">
        <v>-0.64300000000000002</v>
      </c>
      <c r="P346">
        <v>4.9809999999999999</v>
      </c>
      <c r="Q346">
        <v>0</v>
      </c>
      <c r="R346">
        <v>9898.7999999999993</v>
      </c>
      <c r="S346">
        <v>0.71099999999999997</v>
      </c>
      <c r="T346">
        <v>1.5</v>
      </c>
      <c r="U346">
        <v>13.53</v>
      </c>
      <c r="V346">
        <v>56.6</v>
      </c>
      <c r="W346" t="s">
        <v>54</v>
      </c>
      <c r="X346" t="s">
        <v>91</v>
      </c>
      <c r="Y346" t="s">
        <v>56</v>
      </c>
      <c r="Z346">
        <v>0.57099999999999995</v>
      </c>
      <c r="AA346">
        <v>0.75800000000000001</v>
      </c>
      <c r="AB346">
        <v>71</v>
      </c>
      <c r="AC346">
        <v>1</v>
      </c>
      <c r="AE346">
        <v>-79.518799999999999</v>
      </c>
      <c r="AF346">
        <v>8.9942700000000002</v>
      </c>
      <c r="AG346" t="s">
        <v>70</v>
      </c>
      <c r="AH346" t="s">
        <v>58</v>
      </c>
      <c r="AI346">
        <v>6955.2849999999999</v>
      </c>
      <c r="AJ346">
        <v>2.7153740000000002</v>
      </c>
      <c r="AK346">
        <v>21100000000</v>
      </c>
      <c r="AN346">
        <v>-5.4656510000000003</v>
      </c>
      <c r="AO346">
        <v>60.010060000000003</v>
      </c>
      <c r="AP346">
        <v>133.9889</v>
      </c>
      <c r="AQ346">
        <v>6.72783</v>
      </c>
      <c r="AR346">
        <v>13.987120000000001</v>
      </c>
      <c r="AS346">
        <v>1.201832</v>
      </c>
      <c r="AT346">
        <v>0.40546510000000002</v>
      </c>
      <c r="AU346">
        <v>0.41344900000000001</v>
      </c>
      <c r="AV346">
        <v>0.40546510000000002</v>
      </c>
      <c r="AW346">
        <v>23.771439999999998</v>
      </c>
      <c r="AX346">
        <v>0.25</v>
      </c>
      <c r="AY346">
        <v>2.1129109099571202</v>
      </c>
      <c r="AZ346" s="1">
        <v>0.12749999761581399</v>
      </c>
      <c r="BA346" s="1">
        <v>0.181999996304512</v>
      </c>
      <c r="BB346" s="1">
        <v>0.30949997901916498</v>
      </c>
      <c r="BC346" s="1">
        <v>3.2627830000000002</v>
      </c>
      <c r="BD346" s="2">
        <v>137.627136572853</v>
      </c>
      <c r="BE346" s="2">
        <f t="shared" si="10"/>
        <v>7.5102935516570142</v>
      </c>
      <c r="BF346" s="2">
        <f t="shared" si="11"/>
        <v>5.7719610907202767</v>
      </c>
      <c r="BH346" s="3"/>
      <c r="BM346" s="3">
        <v>623.9</v>
      </c>
      <c r="BN346">
        <v>131.70000000000005</v>
      </c>
      <c r="BO346">
        <v>17.429857067231342</v>
      </c>
      <c r="BP346">
        <v>4671707412.6265001</v>
      </c>
      <c r="BQ346">
        <v>370166376.54617023</v>
      </c>
      <c r="BR346">
        <v>7.3418413872456618</v>
      </c>
      <c r="BS346">
        <v>0.17436599999999999</v>
      </c>
      <c r="BT346">
        <v>1.986721</v>
      </c>
      <c r="BU346">
        <v>-0.140575834267338</v>
      </c>
    </row>
    <row r="347" spans="1:73" x14ac:dyDescent="0.2">
      <c r="A347">
        <v>317</v>
      </c>
      <c r="B347" t="s">
        <v>89</v>
      </c>
      <c r="C347">
        <v>2001</v>
      </c>
      <c r="D347">
        <v>13</v>
      </c>
      <c r="E347">
        <v>0</v>
      </c>
      <c r="F347" t="s">
        <v>90</v>
      </c>
      <c r="G347">
        <v>0.21762000000000001</v>
      </c>
      <c r="H347">
        <v>0</v>
      </c>
      <c r="I347">
        <v>9.7000000000000003E-2</v>
      </c>
      <c r="J347">
        <v>0.14099999999999999</v>
      </c>
      <c r="K347">
        <v>0.69199999999999995</v>
      </c>
      <c r="L347">
        <v>0.83499999999999996</v>
      </c>
      <c r="M347">
        <v>0.224</v>
      </c>
      <c r="N347">
        <v>0.32600000000000001</v>
      </c>
      <c r="O347">
        <v>-0.64300000000000002</v>
      </c>
      <c r="P347">
        <v>5.2779999999999996</v>
      </c>
      <c r="Q347">
        <v>0</v>
      </c>
      <c r="R347">
        <v>9804.6</v>
      </c>
      <c r="S347">
        <v>-1.357</v>
      </c>
      <c r="T347">
        <v>0.31</v>
      </c>
      <c r="U347">
        <v>14.71</v>
      </c>
      <c r="V347">
        <v>56.7</v>
      </c>
      <c r="W347" t="s">
        <v>54</v>
      </c>
      <c r="X347" t="s">
        <v>91</v>
      </c>
      <c r="Y347" t="s">
        <v>56</v>
      </c>
      <c r="Z347">
        <v>0.57599999999999996</v>
      </c>
      <c r="AA347">
        <v>0.76400000000000001</v>
      </c>
      <c r="AB347">
        <v>71</v>
      </c>
      <c r="AC347">
        <v>1</v>
      </c>
      <c r="AE347">
        <v>-79.518799999999999</v>
      </c>
      <c r="AF347">
        <v>8.9942700000000002</v>
      </c>
      <c r="AG347" t="s">
        <v>70</v>
      </c>
      <c r="AH347" t="s">
        <v>58</v>
      </c>
      <c r="AI347">
        <v>6860.9489999999996</v>
      </c>
      <c r="AJ347">
        <v>0.57427280000000003</v>
      </c>
      <c r="AK347">
        <v>21200000000</v>
      </c>
      <c r="AN347">
        <v>-1.3621810000000001</v>
      </c>
      <c r="AO347">
        <v>59.560020000000002</v>
      </c>
      <c r="AP347">
        <v>130.0984</v>
      </c>
      <c r="AQ347">
        <v>4.853618</v>
      </c>
      <c r="AR347">
        <v>14.78227</v>
      </c>
      <c r="AS347">
        <v>2.1411009999999999</v>
      </c>
      <c r="AT347">
        <v>-1.1711830000000001</v>
      </c>
      <c r="AU347">
        <v>0.41344900000000001</v>
      </c>
      <c r="AV347">
        <v>-1.1711830000000001</v>
      </c>
      <c r="AW347">
        <v>23.777170000000002</v>
      </c>
      <c r="AX347">
        <v>1.19</v>
      </c>
      <c r="AY347">
        <v>2.1129109099571202</v>
      </c>
      <c r="AZ347" s="1">
        <v>0.12749999761581399</v>
      </c>
      <c r="BA347" s="1">
        <v>0.181999996304512</v>
      </c>
      <c r="BB347" s="1">
        <v>0.30949997901916498</v>
      </c>
      <c r="BC347" s="1">
        <v>3.2627830000000002</v>
      </c>
      <c r="BD347" s="2">
        <v>133.64109051361399</v>
      </c>
      <c r="BE347" s="2">
        <f t="shared" si="10"/>
        <v>3.9860460592390154</v>
      </c>
      <c r="BF347" s="2">
        <f t="shared" si="11"/>
        <v>2.8962646164835375</v>
      </c>
      <c r="BH347" s="3"/>
      <c r="BM347" s="3">
        <v>467.1</v>
      </c>
      <c r="BN347">
        <v>156.79999999999995</v>
      </c>
      <c r="BO347">
        <v>25.132232729604098</v>
      </c>
      <c r="BP347">
        <v>3471560254.1867499</v>
      </c>
      <c r="BQ347">
        <v>1200147158.4397502</v>
      </c>
      <c r="BR347">
        <v>25.689690137615241</v>
      </c>
      <c r="BS347">
        <v>0.79514980000000002</v>
      </c>
      <c r="BT347">
        <v>1.3537189999999999</v>
      </c>
      <c r="BU347">
        <v>1.21314361657035</v>
      </c>
    </row>
    <row r="348" spans="1:73" x14ac:dyDescent="0.2">
      <c r="A348">
        <v>318</v>
      </c>
      <c r="B348" t="s">
        <v>89</v>
      </c>
      <c r="C348">
        <v>2002</v>
      </c>
      <c r="D348">
        <v>13</v>
      </c>
      <c r="E348">
        <v>0</v>
      </c>
      <c r="F348" t="s">
        <v>90</v>
      </c>
      <c r="G348">
        <v>0.21762000000000001</v>
      </c>
      <c r="H348">
        <v>0</v>
      </c>
      <c r="I348">
        <v>9.7000000000000003E-2</v>
      </c>
      <c r="J348">
        <v>0.14099999999999999</v>
      </c>
      <c r="K348">
        <v>0.69199999999999995</v>
      </c>
      <c r="L348">
        <v>0.83499999999999996</v>
      </c>
      <c r="M348">
        <v>0.224</v>
      </c>
      <c r="N348">
        <v>0.32600000000000001</v>
      </c>
      <c r="O348">
        <v>-0.64300000000000002</v>
      </c>
      <c r="P348">
        <v>4.6360000000000001</v>
      </c>
      <c r="Q348">
        <v>0</v>
      </c>
      <c r="R348">
        <v>9879.5</v>
      </c>
      <c r="S348">
        <v>0.29599999999999999</v>
      </c>
      <c r="T348">
        <v>1.01</v>
      </c>
      <c r="U348">
        <v>14.11</v>
      </c>
      <c r="V348">
        <v>56.1</v>
      </c>
      <c r="W348" t="s">
        <v>54</v>
      </c>
      <c r="X348" t="s">
        <v>91</v>
      </c>
      <c r="Y348" t="s">
        <v>56</v>
      </c>
      <c r="Z348">
        <v>0.57599999999999996</v>
      </c>
      <c r="AA348">
        <v>0.76400000000000001</v>
      </c>
      <c r="AB348">
        <v>71</v>
      </c>
      <c r="AC348">
        <v>1</v>
      </c>
      <c r="AE348">
        <v>-79.518799999999999</v>
      </c>
      <c r="AF348">
        <v>8.9942700000000002</v>
      </c>
      <c r="AG348" t="s">
        <v>70</v>
      </c>
      <c r="AH348" t="s">
        <v>58</v>
      </c>
      <c r="AI348">
        <v>6881.2510000000002</v>
      </c>
      <c r="AJ348">
        <v>2.229149</v>
      </c>
      <c r="AK348">
        <v>21700000000</v>
      </c>
      <c r="AN348">
        <v>-0.73493699999999995</v>
      </c>
      <c r="AO348">
        <v>59.01896</v>
      </c>
      <c r="AP348">
        <v>121.8519</v>
      </c>
      <c r="AQ348">
        <v>1.9016010000000001</v>
      </c>
      <c r="AR348">
        <v>15.718669999999999</v>
      </c>
      <c r="AS348">
        <v>1.654876</v>
      </c>
      <c r="AT348">
        <v>9.9503000000000005E-3</v>
      </c>
      <c r="AU348">
        <v>0.41344900000000001</v>
      </c>
      <c r="AV348">
        <v>9.9503000000000005E-3</v>
      </c>
      <c r="AW348">
        <v>23.799209999999999</v>
      </c>
      <c r="AX348">
        <v>0.7</v>
      </c>
      <c r="AY348">
        <v>2.1129109099571202</v>
      </c>
      <c r="AZ348" s="1">
        <v>0.12749999761581399</v>
      </c>
      <c r="BA348" s="1">
        <v>0.181999996304512</v>
      </c>
      <c r="BB348" s="1">
        <v>0.30949997901916498</v>
      </c>
      <c r="BC348" s="1">
        <v>3.2627830000000002</v>
      </c>
      <c r="BD348" s="2">
        <v>125.167086060434</v>
      </c>
      <c r="BE348" s="2">
        <f t="shared" si="10"/>
        <v>8.4740044531799867</v>
      </c>
      <c r="BF348" s="2">
        <f t="shared" si="11"/>
        <v>6.3408674836552175</v>
      </c>
      <c r="BH348" s="3"/>
      <c r="BJ348" s="3">
        <v>1336</v>
      </c>
      <c r="BM348" s="3">
        <v>98.6</v>
      </c>
      <c r="BN348">
        <v>368.5</v>
      </c>
      <c r="BO348">
        <v>78.891029758081771</v>
      </c>
      <c r="BP348">
        <v>3275982045.9537201</v>
      </c>
      <c r="BQ348">
        <v>195578208.23302984</v>
      </c>
      <c r="BR348">
        <v>5.6337264489982513</v>
      </c>
      <c r="BS348">
        <v>0.93640520000000005</v>
      </c>
      <c r="BT348">
        <v>1.8693219999999999</v>
      </c>
      <c r="BU348">
        <v>-0.65617799285463696</v>
      </c>
    </row>
    <row r="349" spans="1:73" x14ac:dyDescent="0.2">
      <c r="A349">
        <v>319</v>
      </c>
      <c r="B349" t="s">
        <v>89</v>
      </c>
      <c r="C349">
        <v>2003</v>
      </c>
      <c r="D349">
        <v>13</v>
      </c>
      <c r="E349">
        <v>0</v>
      </c>
      <c r="F349" t="s">
        <v>90</v>
      </c>
      <c r="G349">
        <v>0.21762000000000001</v>
      </c>
      <c r="H349">
        <v>0</v>
      </c>
      <c r="I349">
        <v>9.7000000000000003E-2</v>
      </c>
      <c r="J349">
        <v>0.14099999999999999</v>
      </c>
      <c r="K349">
        <v>0.69199999999999995</v>
      </c>
      <c r="L349">
        <v>0.83499999999999996</v>
      </c>
      <c r="M349">
        <v>0.224</v>
      </c>
      <c r="N349">
        <v>0.32600000000000001</v>
      </c>
      <c r="O349">
        <v>-0.64300000000000002</v>
      </c>
      <c r="P349">
        <v>5.1890000000000001</v>
      </c>
      <c r="Q349">
        <v>0</v>
      </c>
      <c r="R349">
        <v>10153.799999999999</v>
      </c>
      <c r="S349">
        <v>2.262</v>
      </c>
      <c r="T349">
        <v>0.39</v>
      </c>
      <c r="U349">
        <v>13.62</v>
      </c>
      <c r="V349">
        <v>55.7</v>
      </c>
      <c r="W349" t="s">
        <v>54</v>
      </c>
      <c r="X349" t="s">
        <v>91</v>
      </c>
      <c r="Y349" t="s">
        <v>56</v>
      </c>
      <c r="Z349">
        <v>0.57599999999999996</v>
      </c>
      <c r="AA349">
        <v>0.76400000000000001</v>
      </c>
      <c r="AB349">
        <v>71</v>
      </c>
      <c r="AC349">
        <v>1</v>
      </c>
      <c r="AE349">
        <v>-79.518799999999999</v>
      </c>
      <c r="AF349">
        <v>8.9942700000000002</v>
      </c>
      <c r="AG349" t="s">
        <v>70</v>
      </c>
      <c r="AH349" t="s">
        <v>58</v>
      </c>
      <c r="AI349">
        <v>7036.8819999999996</v>
      </c>
      <c r="AJ349">
        <v>4.2054960000000001</v>
      </c>
      <c r="AK349">
        <v>22600000000</v>
      </c>
      <c r="AN349">
        <v>-3.91778</v>
      </c>
      <c r="AO349">
        <v>58.447279999999999</v>
      </c>
      <c r="AP349">
        <v>114.6934</v>
      </c>
      <c r="AQ349">
        <v>7.6719840000000001</v>
      </c>
      <c r="AR349">
        <v>14.81471</v>
      </c>
      <c r="AS349">
        <v>1.9763459999999999</v>
      </c>
      <c r="AT349">
        <v>-0.94160849999999996</v>
      </c>
      <c r="AU349">
        <v>0.41344900000000001</v>
      </c>
      <c r="AV349">
        <v>-0.94160849999999996</v>
      </c>
      <c r="AW349">
        <v>23.840409999999999</v>
      </c>
      <c r="AX349">
        <v>0.62</v>
      </c>
      <c r="AY349">
        <v>2.1129109099571202</v>
      </c>
      <c r="AZ349" s="1">
        <v>0.12749999761581399</v>
      </c>
      <c r="BA349" s="1">
        <v>0.181999996304512</v>
      </c>
      <c r="BB349" s="1">
        <v>0.30949997901916498</v>
      </c>
      <c r="BC349" s="1">
        <v>3.2627830000000002</v>
      </c>
      <c r="BD349" s="2">
        <v>117.81428151796599</v>
      </c>
      <c r="BE349" s="2">
        <f t="shared" si="10"/>
        <v>7.3528045424680073</v>
      </c>
      <c r="BF349" s="2">
        <f t="shared" si="11"/>
        <v>5.8743914026390911</v>
      </c>
      <c r="BG349">
        <v>10369</v>
      </c>
      <c r="BH349" s="3">
        <v>297</v>
      </c>
      <c r="BI349">
        <v>2.9487688641779188</v>
      </c>
      <c r="BJ349" s="3">
        <v>1464</v>
      </c>
      <c r="BK349">
        <v>128</v>
      </c>
      <c r="BL349">
        <v>9.5808383233532926</v>
      </c>
      <c r="BM349" s="3">
        <v>817.5</v>
      </c>
      <c r="BN349">
        <v>718.9</v>
      </c>
      <c r="BO349">
        <v>729.10750507099397</v>
      </c>
      <c r="BP349">
        <v>4038873874.8667102</v>
      </c>
      <c r="BQ349">
        <v>762891828.91299009</v>
      </c>
      <c r="BR349">
        <v>23.287423991082751</v>
      </c>
      <c r="BS349">
        <v>0.90396120000000002</v>
      </c>
      <c r="BT349">
        <v>4.9358490000000002</v>
      </c>
      <c r="BU349">
        <v>4.2796705712887002</v>
      </c>
    </row>
    <row r="350" spans="1:73" x14ac:dyDescent="0.2">
      <c r="A350">
        <v>320</v>
      </c>
      <c r="B350" t="s">
        <v>89</v>
      </c>
      <c r="C350">
        <v>2004</v>
      </c>
      <c r="D350">
        <v>13</v>
      </c>
      <c r="E350">
        <v>1</v>
      </c>
      <c r="F350" t="s">
        <v>90</v>
      </c>
      <c r="G350">
        <v>0.21762000000000001</v>
      </c>
      <c r="H350">
        <v>0</v>
      </c>
      <c r="I350">
        <v>0.316</v>
      </c>
      <c r="J350">
        <v>0.35099999999999998</v>
      </c>
      <c r="K350">
        <v>1.25</v>
      </c>
      <c r="L350">
        <v>1.3160000000000001</v>
      </c>
      <c r="M350">
        <v>0.47799999999999998</v>
      </c>
      <c r="N350">
        <v>0.52500000000000002</v>
      </c>
      <c r="O350">
        <v>-0.76500000000000001</v>
      </c>
      <c r="P350">
        <v>5.3159999999999998</v>
      </c>
      <c r="Q350">
        <v>1</v>
      </c>
      <c r="R350">
        <v>10769.5</v>
      </c>
      <c r="S350">
        <v>5.5389999999999997</v>
      </c>
      <c r="T350">
        <v>0.47</v>
      </c>
      <c r="U350">
        <v>12.44</v>
      </c>
      <c r="V350">
        <v>54.8</v>
      </c>
      <c r="W350" t="s">
        <v>54</v>
      </c>
      <c r="X350" t="s">
        <v>91</v>
      </c>
      <c r="Y350" t="s">
        <v>56</v>
      </c>
      <c r="Z350">
        <v>0.58299999999999996</v>
      </c>
      <c r="AA350">
        <v>0.76500000000000001</v>
      </c>
      <c r="AB350">
        <v>78</v>
      </c>
      <c r="AC350">
        <v>1</v>
      </c>
      <c r="AE350">
        <v>-79.518799999999999</v>
      </c>
      <c r="AF350">
        <v>8.9942700000000002</v>
      </c>
      <c r="AG350" t="s">
        <v>70</v>
      </c>
      <c r="AH350" t="s">
        <v>58</v>
      </c>
      <c r="AI350">
        <v>7426.6509999999998</v>
      </c>
      <c r="AJ350">
        <v>7.5220789999999997</v>
      </c>
      <c r="AK350">
        <v>24300000000</v>
      </c>
      <c r="AN350">
        <v>-6.6813729999999998</v>
      </c>
      <c r="AO350">
        <v>57.930819999999997</v>
      </c>
      <c r="AP350">
        <v>123.65260000000001</v>
      </c>
      <c r="AQ350">
        <v>8.5117399999999996</v>
      </c>
      <c r="AR350">
        <v>14.43032</v>
      </c>
      <c r="AS350">
        <v>3.3165840000000002</v>
      </c>
      <c r="AT350">
        <v>-0.75502259999999999</v>
      </c>
      <c r="AU350">
        <v>0.585225</v>
      </c>
      <c r="AV350">
        <v>-0.75502259999999999</v>
      </c>
      <c r="AW350">
        <v>23.912929999999999</v>
      </c>
      <c r="AX350">
        <v>0.08</v>
      </c>
      <c r="AY350">
        <v>2.01603938383357</v>
      </c>
      <c r="AZ350" s="1">
        <v>0.13699999451637301</v>
      </c>
      <c r="BA350" s="1">
        <v>0.110500000417233</v>
      </c>
      <c r="BB350" s="1">
        <v>0.24750000238418601</v>
      </c>
      <c r="BC350" s="1">
        <v>2.8483143000000002</v>
      </c>
      <c r="BD350" s="2">
        <v>127.012950192532</v>
      </c>
      <c r="BE350" s="2">
        <f t="shared" si="10"/>
        <v>9.198668674566008</v>
      </c>
      <c r="BF350" s="2">
        <f t="shared" si="11"/>
        <v>7.8077704638577838</v>
      </c>
      <c r="BG350">
        <v>11228</v>
      </c>
      <c r="BH350" s="3">
        <v>859</v>
      </c>
      <c r="BI350">
        <v>8.2843089979747315</v>
      </c>
      <c r="BJ350" s="3">
        <v>1633</v>
      </c>
      <c r="BK350">
        <v>169</v>
      </c>
      <c r="BL350">
        <v>11.543715846994536</v>
      </c>
      <c r="BM350" s="3">
        <v>1019.1</v>
      </c>
      <c r="BN350">
        <v>201.60000000000002</v>
      </c>
      <c r="BO350">
        <v>24.660550458715601</v>
      </c>
      <c r="BP350">
        <v>4417867885.7746601</v>
      </c>
      <c r="BQ350">
        <v>378994010.90794992</v>
      </c>
      <c r="BR350">
        <v>9.3836555101750321</v>
      </c>
      <c r="BS350">
        <v>0.38438800000000001</v>
      </c>
      <c r="BT350">
        <v>1.1469009999999999</v>
      </c>
      <c r="BU350">
        <v>3.1327693363610201</v>
      </c>
    </row>
    <row r="351" spans="1:73" x14ac:dyDescent="0.2">
      <c r="A351">
        <v>321</v>
      </c>
      <c r="B351" t="s">
        <v>89</v>
      </c>
      <c r="C351">
        <v>2005</v>
      </c>
      <c r="D351">
        <v>13</v>
      </c>
      <c r="E351">
        <v>0</v>
      </c>
      <c r="F351" t="s">
        <v>90</v>
      </c>
      <c r="G351">
        <v>0.21762000000000001</v>
      </c>
      <c r="H351">
        <v>0</v>
      </c>
      <c r="I351">
        <v>0.316</v>
      </c>
      <c r="J351">
        <v>0.35099999999999998</v>
      </c>
      <c r="K351">
        <v>1.25</v>
      </c>
      <c r="L351">
        <v>1.3160000000000001</v>
      </c>
      <c r="M351">
        <v>0.47799999999999998</v>
      </c>
      <c r="N351">
        <v>0.52500000000000002</v>
      </c>
      <c r="O351">
        <v>-0.76500000000000001</v>
      </c>
      <c r="P351">
        <v>4.72</v>
      </c>
      <c r="Q351">
        <v>0</v>
      </c>
      <c r="R351">
        <v>11389.2</v>
      </c>
      <c r="S351">
        <v>5.2320000000000002</v>
      </c>
      <c r="T351">
        <v>2.86</v>
      </c>
      <c r="U351">
        <v>10.33</v>
      </c>
      <c r="V351">
        <v>53.8</v>
      </c>
      <c r="W351" t="s">
        <v>54</v>
      </c>
      <c r="X351" t="s">
        <v>91</v>
      </c>
      <c r="Y351" t="s">
        <v>56</v>
      </c>
      <c r="Z351">
        <v>0.57699999999999996</v>
      </c>
      <c r="AA351">
        <v>0.76600000000000001</v>
      </c>
      <c r="AB351">
        <v>78</v>
      </c>
      <c r="AC351">
        <v>1</v>
      </c>
      <c r="AE351">
        <v>-79.518799999999999</v>
      </c>
      <c r="AF351">
        <v>8.9942700000000002</v>
      </c>
      <c r="AG351" t="s">
        <v>70</v>
      </c>
      <c r="AH351" t="s">
        <v>58</v>
      </c>
      <c r="AI351">
        <v>7815.2250000000004</v>
      </c>
      <c r="AJ351">
        <v>7.1912789999999998</v>
      </c>
      <c r="AK351">
        <v>26000000000</v>
      </c>
      <c r="AN351">
        <v>-6.4985609999999996</v>
      </c>
      <c r="AO351">
        <v>57.505940000000002</v>
      </c>
      <c r="AP351">
        <v>135.6943</v>
      </c>
      <c r="AQ351">
        <v>6.7446770000000003</v>
      </c>
      <c r="AR351">
        <v>13.944649999999999</v>
      </c>
      <c r="AS351">
        <v>0.33080009999999999</v>
      </c>
      <c r="AT351">
        <v>1.0508219999999999</v>
      </c>
      <c r="AU351">
        <v>0.585225</v>
      </c>
      <c r="AV351">
        <v>1.0508219999999999</v>
      </c>
      <c r="AW351">
        <v>23.982379999999999</v>
      </c>
      <c r="AX351">
        <v>2.39</v>
      </c>
      <c r="AY351">
        <v>2.01603938383357</v>
      </c>
      <c r="AZ351" s="1">
        <v>0.13699999451637301</v>
      </c>
      <c r="BA351" s="1">
        <v>0.110500000417233</v>
      </c>
      <c r="BB351" s="1">
        <v>0.24750000238418601</v>
      </c>
      <c r="BC351" s="1">
        <v>2.8483143000000002</v>
      </c>
      <c r="BD351" s="2">
        <v>139.38779997593201</v>
      </c>
      <c r="BE351" s="2">
        <f t="shared" si="10"/>
        <v>12.374849783400009</v>
      </c>
      <c r="BF351" s="2">
        <f t="shared" si="11"/>
        <v>9.7429827152598616</v>
      </c>
      <c r="BG351">
        <v>12206</v>
      </c>
      <c r="BH351" s="3">
        <v>978</v>
      </c>
      <c r="BI351">
        <v>8.7103669397933743</v>
      </c>
      <c r="BJ351" s="3">
        <v>1906</v>
      </c>
      <c r="BK351">
        <v>273</v>
      </c>
      <c r="BL351">
        <v>16.717697489283527</v>
      </c>
      <c r="BM351" s="3">
        <v>962.1</v>
      </c>
      <c r="BN351">
        <v>57</v>
      </c>
      <c r="BO351">
        <v>5.5931704445098616</v>
      </c>
      <c r="BP351">
        <v>4702309409.4617796</v>
      </c>
      <c r="BQ351">
        <v>284441523.68711948</v>
      </c>
      <c r="BR351">
        <v>6.4384343543411209</v>
      </c>
      <c r="BS351">
        <v>0.48566819999999999</v>
      </c>
      <c r="BT351">
        <v>0.86792590000000003</v>
      </c>
      <c r="BU351">
        <v>4.0006954072828096</v>
      </c>
    </row>
    <row r="352" spans="1:73" x14ac:dyDescent="0.2">
      <c r="A352">
        <v>322</v>
      </c>
      <c r="B352" t="s">
        <v>89</v>
      </c>
      <c r="C352">
        <v>2006</v>
      </c>
      <c r="D352">
        <v>13</v>
      </c>
      <c r="E352">
        <v>0</v>
      </c>
      <c r="F352" t="s">
        <v>90</v>
      </c>
      <c r="G352">
        <v>0.21762000000000001</v>
      </c>
      <c r="H352">
        <v>0</v>
      </c>
      <c r="I352">
        <v>0.316</v>
      </c>
      <c r="J352">
        <v>0.35099999999999998</v>
      </c>
      <c r="K352">
        <v>1.25</v>
      </c>
      <c r="L352">
        <v>1.3160000000000001</v>
      </c>
      <c r="M352">
        <v>0.47799999999999998</v>
      </c>
      <c r="N352">
        <v>0.52500000000000002</v>
      </c>
      <c r="O352">
        <v>-0.76500000000000001</v>
      </c>
      <c r="P352">
        <v>4.5140000000000002</v>
      </c>
      <c r="Q352">
        <v>0</v>
      </c>
      <c r="R352">
        <v>12195.8</v>
      </c>
      <c r="S352">
        <v>6.6840000000000002</v>
      </c>
      <c r="T352">
        <v>2.46</v>
      </c>
      <c r="U352">
        <v>9.11</v>
      </c>
      <c r="V352">
        <v>54.6</v>
      </c>
      <c r="W352" t="s">
        <v>54</v>
      </c>
      <c r="X352" t="s">
        <v>91</v>
      </c>
      <c r="Y352" t="s">
        <v>56</v>
      </c>
      <c r="Z352">
        <v>0.57699999999999996</v>
      </c>
      <c r="AA352">
        <v>0.76600000000000001</v>
      </c>
      <c r="AB352">
        <v>78</v>
      </c>
      <c r="AC352">
        <v>1</v>
      </c>
      <c r="AE352">
        <v>-79.518799999999999</v>
      </c>
      <c r="AF352">
        <v>8.9942700000000002</v>
      </c>
      <c r="AG352" t="s">
        <v>70</v>
      </c>
      <c r="AH352" t="s">
        <v>58</v>
      </c>
      <c r="AI352">
        <v>8337.5849999999991</v>
      </c>
      <c r="AJ352">
        <v>8.6524660000000004</v>
      </c>
      <c r="AK352">
        <v>28300000000</v>
      </c>
      <c r="AN352">
        <v>-2.5503719999999999</v>
      </c>
      <c r="AO352">
        <v>57.098950000000002</v>
      </c>
      <c r="AP352">
        <v>137.89570000000001</v>
      </c>
      <c r="AQ352">
        <v>16.229489999999998</v>
      </c>
      <c r="AR352">
        <v>13.09679</v>
      </c>
      <c r="AS352">
        <v>1.4611860000000001</v>
      </c>
      <c r="AT352">
        <v>0.9001614</v>
      </c>
      <c r="AU352">
        <v>0.585225</v>
      </c>
      <c r="AV352">
        <v>0.9001614</v>
      </c>
      <c r="AW352">
        <v>24.065359999999998</v>
      </c>
      <c r="AX352">
        <v>0.39999990000000002</v>
      </c>
      <c r="AY352">
        <v>2.01603938383357</v>
      </c>
      <c r="AZ352" s="1">
        <v>0.13699999451637301</v>
      </c>
      <c r="BA352" s="1">
        <v>0.110500000417233</v>
      </c>
      <c r="BB352" s="1">
        <v>0.24750000238418601</v>
      </c>
      <c r="BC352" s="1">
        <v>2.8483143000000002</v>
      </c>
      <c r="BD352" s="2">
        <v>140.91038268689601</v>
      </c>
      <c r="BE352" s="2">
        <f t="shared" si="10"/>
        <v>1.5225827109640022</v>
      </c>
      <c r="BF352" s="2">
        <f t="shared" si="11"/>
        <v>1.0923357074485036</v>
      </c>
      <c r="BG352">
        <v>14947</v>
      </c>
      <c r="BH352" s="3">
        <v>2741</v>
      </c>
      <c r="BI352">
        <v>22.456169097165329</v>
      </c>
      <c r="BJ352" s="3">
        <v>2610</v>
      </c>
      <c r="BK352">
        <v>704</v>
      </c>
      <c r="BL352">
        <v>36.935991605456451</v>
      </c>
      <c r="BM352" s="3">
        <v>2497.9</v>
      </c>
      <c r="BN352">
        <v>1535.8000000000002</v>
      </c>
      <c r="BO352">
        <v>159.62997609396115</v>
      </c>
      <c r="BP352">
        <v>5483444781.57967</v>
      </c>
      <c r="BQ352">
        <v>781135372.11789036</v>
      </c>
      <c r="BR352">
        <v>16.611739128567852</v>
      </c>
      <c r="BS352">
        <v>0.84786609999999996</v>
      </c>
      <c r="BT352">
        <v>1.3616740000000001</v>
      </c>
      <c r="BU352">
        <v>5.3623690559254298</v>
      </c>
    </row>
    <row r="353" spans="1:73" x14ac:dyDescent="0.2">
      <c r="A353">
        <v>323</v>
      </c>
      <c r="B353" t="s">
        <v>89</v>
      </c>
      <c r="C353">
        <v>2007</v>
      </c>
      <c r="D353">
        <v>13</v>
      </c>
      <c r="E353">
        <v>0</v>
      </c>
      <c r="F353" t="s">
        <v>90</v>
      </c>
      <c r="G353">
        <v>0.21762000000000001</v>
      </c>
      <c r="H353">
        <v>0</v>
      </c>
      <c r="I353">
        <v>0.316</v>
      </c>
      <c r="J353">
        <v>0.35099999999999998</v>
      </c>
      <c r="K353">
        <v>1.25</v>
      </c>
      <c r="L353">
        <v>1.3160000000000001</v>
      </c>
      <c r="M353">
        <v>0.47799999999999998</v>
      </c>
      <c r="N353">
        <v>0.52500000000000002</v>
      </c>
      <c r="O353">
        <v>-0.76500000000000001</v>
      </c>
      <c r="P353">
        <v>3.222</v>
      </c>
      <c r="Q353">
        <v>0</v>
      </c>
      <c r="R353">
        <v>13492.4</v>
      </c>
      <c r="S353">
        <v>9.9730000000000008</v>
      </c>
      <c r="T353">
        <v>4.17</v>
      </c>
      <c r="U353">
        <v>6.78</v>
      </c>
      <c r="V353">
        <v>52.7</v>
      </c>
      <c r="W353" t="s">
        <v>54</v>
      </c>
      <c r="X353" t="s">
        <v>91</v>
      </c>
      <c r="Y353" t="s">
        <v>56</v>
      </c>
      <c r="Z353">
        <v>0.57699999999999996</v>
      </c>
      <c r="AA353">
        <v>0.76600000000000001</v>
      </c>
      <c r="AB353">
        <v>78</v>
      </c>
      <c r="AE353">
        <v>-79.518799999999999</v>
      </c>
      <c r="AF353">
        <v>8.9942700000000002</v>
      </c>
      <c r="AG353" t="s">
        <v>70</v>
      </c>
      <c r="AH353" t="s">
        <v>58</v>
      </c>
      <c r="AI353">
        <v>9169.1530000000002</v>
      </c>
      <c r="AJ353">
        <v>11.983980000000001</v>
      </c>
      <c r="AK353">
        <v>31700000000</v>
      </c>
      <c r="AN353">
        <v>-7.2182620000000002</v>
      </c>
      <c r="AO353">
        <v>56.791980000000002</v>
      </c>
      <c r="AP353">
        <v>149.57040000000001</v>
      </c>
      <c r="AQ353">
        <v>10.44328</v>
      </c>
      <c r="AR353">
        <v>12.466200000000001</v>
      </c>
      <c r="AS353">
        <v>3.3315190000000001</v>
      </c>
      <c r="AT353">
        <v>1.427916</v>
      </c>
      <c r="AU353">
        <v>0.585225</v>
      </c>
      <c r="AV353">
        <v>1.427916</v>
      </c>
      <c r="AW353">
        <v>24.178550000000001</v>
      </c>
      <c r="AX353">
        <v>1.71</v>
      </c>
      <c r="AY353">
        <v>2.01603938383357</v>
      </c>
      <c r="AZ353" s="1">
        <v>0.13699999451637301</v>
      </c>
      <c r="BA353" s="1">
        <v>0.110500000417233</v>
      </c>
      <c r="BB353" s="1">
        <v>0.24750000238418601</v>
      </c>
      <c r="BC353" s="1">
        <v>2.8483143000000002</v>
      </c>
      <c r="BD353" s="2">
        <v>149.57011845848999</v>
      </c>
      <c r="BE353" s="2">
        <f t="shared" si="10"/>
        <v>8.6597357715939722</v>
      </c>
      <c r="BF353" s="2">
        <f t="shared" si="11"/>
        <v>6.1455625955086459</v>
      </c>
      <c r="BG353">
        <v>17538</v>
      </c>
      <c r="BH353" s="3">
        <v>2591</v>
      </c>
      <c r="BI353">
        <v>17.334582190406103</v>
      </c>
      <c r="BJ353" s="3">
        <v>3054</v>
      </c>
      <c r="BK353">
        <v>444</v>
      </c>
      <c r="BL353">
        <v>17.011494252873565</v>
      </c>
      <c r="BM353" s="3">
        <v>1776.5</v>
      </c>
      <c r="BN353">
        <v>721.40000000000009</v>
      </c>
      <c r="BO353">
        <v>28.880259417911049</v>
      </c>
      <c r="BP353">
        <v>7730677008.48281</v>
      </c>
      <c r="BQ353">
        <v>2247232226.9031401</v>
      </c>
      <c r="BR353">
        <v>40.982125587407808</v>
      </c>
      <c r="BS353">
        <v>0.6305885</v>
      </c>
      <c r="BT353">
        <v>1.2638320000000001</v>
      </c>
      <c r="BU353">
        <v>6.6262006393349404</v>
      </c>
    </row>
    <row r="354" spans="1:73" x14ac:dyDescent="0.2">
      <c r="A354">
        <v>324</v>
      </c>
      <c r="B354" t="s">
        <v>89</v>
      </c>
      <c r="C354">
        <v>2008</v>
      </c>
      <c r="D354">
        <v>13</v>
      </c>
      <c r="E354">
        <v>0</v>
      </c>
      <c r="F354" t="s">
        <v>90</v>
      </c>
      <c r="G354">
        <v>0.21762000000000001</v>
      </c>
      <c r="H354">
        <v>0</v>
      </c>
      <c r="I354">
        <v>0.316</v>
      </c>
      <c r="J354">
        <v>0.35099999999999998</v>
      </c>
      <c r="K354">
        <v>1.25</v>
      </c>
      <c r="L354">
        <v>1.3160000000000001</v>
      </c>
      <c r="M354">
        <v>0.47799999999999998</v>
      </c>
      <c r="N354">
        <v>0.52500000000000002</v>
      </c>
      <c r="O354">
        <v>-0.76500000000000001</v>
      </c>
      <c r="P354">
        <v>5.07</v>
      </c>
      <c r="Q354">
        <v>0</v>
      </c>
      <c r="R354">
        <v>14467</v>
      </c>
      <c r="S354">
        <v>7.9020000000000001</v>
      </c>
      <c r="T354">
        <v>8.76</v>
      </c>
      <c r="U354">
        <v>4.87</v>
      </c>
      <c r="V354">
        <v>52.7</v>
      </c>
      <c r="W354" t="s">
        <v>54</v>
      </c>
      <c r="X354" t="s">
        <v>91</v>
      </c>
      <c r="Y354" t="s">
        <v>56</v>
      </c>
      <c r="Z354">
        <v>0.57699999999999996</v>
      </c>
      <c r="AA354">
        <v>0.76600000000000001</v>
      </c>
      <c r="AB354">
        <v>78</v>
      </c>
      <c r="AE354">
        <v>-79.518799999999999</v>
      </c>
      <c r="AF354">
        <v>8.9942700000000002</v>
      </c>
      <c r="AG354" t="s">
        <v>70</v>
      </c>
      <c r="AH354" t="s">
        <v>58</v>
      </c>
      <c r="AI354">
        <v>9893.6949999999997</v>
      </c>
      <c r="AJ354">
        <v>9.8556550000000005</v>
      </c>
      <c r="AK354">
        <v>34800000000</v>
      </c>
      <c r="AN354">
        <v>-10.498139999999999</v>
      </c>
      <c r="AO354">
        <v>56.538649999999997</v>
      </c>
      <c r="AP354">
        <v>166.69820000000001</v>
      </c>
      <c r="AQ354">
        <v>9.5007570000000001</v>
      </c>
      <c r="AR354">
        <v>12.07272</v>
      </c>
      <c r="AS354">
        <v>2.1283300000000001</v>
      </c>
      <c r="AT354">
        <v>2.1701959999999998</v>
      </c>
      <c r="AU354">
        <v>0.585225</v>
      </c>
      <c r="AV354">
        <v>2.1701959999999998</v>
      </c>
      <c r="AW354">
        <v>24.272539999999999</v>
      </c>
      <c r="AX354">
        <v>4.59</v>
      </c>
      <c r="AY354">
        <v>2.01603938383357</v>
      </c>
      <c r="AZ354" s="1">
        <v>0.13699999451637301</v>
      </c>
      <c r="BA354" s="1">
        <v>0.110500000417233</v>
      </c>
      <c r="BB354" s="1">
        <v>0.24750000238418601</v>
      </c>
      <c r="BC354" s="1">
        <v>2.8483143000000002</v>
      </c>
      <c r="BD354" s="2">
        <v>166.698579672481</v>
      </c>
      <c r="BE354" s="2">
        <f t="shared" si="10"/>
        <v>17.128461213991017</v>
      </c>
      <c r="BF354" s="2">
        <f t="shared" si="11"/>
        <v>11.45179357382448</v>
      </c>
      <c r="BG354">
        <v>19780</v>
      </c>
      <c r="BH354" s="3">
        <v>2242</v>
      </c>
      <c r="BI354">
        <v>12.783669745695063</v>
      </c>
      <c r="BJ354" s="3">
        <v>3764</v>
      </c>
      <c r="BK354">
        <v>710</v>
      </c>
      <c r="BL354">
        <v>23.248199083169613</v>
      </c>
      <c r="BM354" s="3">
        <v>2401.6999999999998</v>
      </c>
      <c r="BN354">
        <v>625.19999999999982</v>
      </c>
      <c r="BO354">
        <v>35.192794821277786</v>
      </c>
      <c r="BP354">
        <v>9443003859.0962696</v>
      </c>
      <c r="BQ354">
        <v>1712326850.6134596</v>
      </c>
      <c r="BR354">
        <v>22.149765780338992</v>
      </c>
      <c r="BS354">
        <v>0.39348030000000001</v>
      </c>
      <c r="BT354">
        <v>1.0074529999999999</v>
      </c>
      <c r="BU354">
        <v>7.6336540400150703</v>
      </c>
    </row>
    <row r="355" spans="1:73" x14ac:dyDescent="0.2">
      <c r="A355">
        <v>325</v>
      </c>
      <c r="B355" t="s">
        <v>89</v>
      </c>
      <c r="C355">
        <v>2009</v>
      </c>
      <c r="D355">
        <v>13</v>
      </c>
      <c r="E355">
        <v>1</v>
      </c>
      <c r="F355" t="s">
        <v>90</v>
      </c>
      <c r="G355">
        <v>0.21762000000000001</v>
      </c>
      <c r="H355">
        <v>0</v>
      </c>
      <c r="I355">
        <v>0.26400000000000001</v>
      </c>
      <c r="J355">
        <v>0.30099999999999999</v>
      </c>
      <c r="K355">
        <v>1.143</v>
      </c>
      <c r="L355">
        <v>1.2190000000000001</v>
      </c>
      <c r="M355">
        <v>0.432</v>
      </c>
      <c r="N355">
        <v>0.47799999999999998</v>
      </c>
      <c r="O355">
        <v>-0.66100000000000003</v>
      </c>
      <c r="P355">
        <v>4.3559999999999999</v>
      </c>
      <c r="Q355">
        <v>1</v>
      </c>
      <c r="R355">
        <v>14515.8</v>
      </c>
      <c r="S355">
        <v>-0.53900000000000003</v>
      </c>
      <c r="T355">
        <v>2.41</v>
      </c>
      <c r="U355">
        <v>6.56</v>
      </c>
      <c r="V355">
        <v>51.8</v>
      </c>
      <c r="W355" t="s">
        <v>54</v>
      </c>
      <c r="X355" t="s">
        <v>91</v>
      </c>
      <c r="Y355" t="s">
        <v>56</v>
      </c>
      <c r="Z355">
        <v>0.57899999999999996</v>
      </c>
      <c r="AA355">
        <v>0.76700000000000002</v>
      </c>
      <c r="AB355">
        <v>71</v>
      </c>
      <c r="AE355">
        <v>-79.518799999999999</v>
      </c>
      <c r="AF355">
        <v>8.9942700000000002</v>
      </c>
      <c r="AG355" t="s">
        <v>70</v>
      </c>
      <c r="AH355" t="s">
        <v>58</v>
      </c>
      <c r="AI355">
        <v>9840.3330000000005</v>
      </c>
      <c r="AJ355">
        <v>1.2429920000000001</v>
      </c>
      <c r="AK355">
        <v>35200000000</v>
      </c>
      <c r="AN355">
        <v>-0.78254539999999995</v>
      </c>
      <c r="AO355">
        <v>56.276580000000003</v>
      </c>
      <c r="AP355">
        <v>138.9804</v>
      </c>
      <c r="AQ355">
        <v>4.0030780000000004</v>
      </c>
      <c r="AR355">
        <v>11.94875</v>
      </c>
      <c r="AS355">
        <v>8.6126620000000003</v>
      </c>
      <c r="AT355">
        <v>0.87962680000000004</v>
      </c>
      <c r="AU355">
        <v>0.436921</v>
      </c>
      <c r="AV355">
        <v>0.87962680000000004</v>
      </c>
      <c r="AW355">
        <v>24.2849</v>
      </c>
      <c r="AX355">
        <v>6.35</v>
      </c>
      <c r="AY355">
        <v>2.0986183897093902</v>
      </c>
      <c r="AZ355" s="1">
        <v>0.36300000548362699</v>
      </c>
      <c r="BA355" s="1">
        <v>0.12150000035762799</v>
      </c>
      <c r="BB355" s="1">
        <v>0.48449999094009399</v>
      </c>
      <c r="BC355" s="1">
        <v>3.6502534999999998</v>
      </c>
      <c r="BD355" s="2">
        <v>138.98010575427199</v>
      </c>
      <c r="BE355" s="2">
        <f t="shared" si="10"/>
        <v>27.718473918209014</v>
      </c>
      <c r="BF355" s="2">
        <f t="shared" si="11"/>
        <v>16.627900473218517</v>
      </c>
      <c r="BG355">
        <v>21812</v>
      </c>
      <c r="BH355" s="3">
        <v>2032</v>
      </c>
      <c r="BI355">
        <v>10.273003033367038</v>
      </c>
      <c r="BJ355" s="3">
        <v>4404</v>
      </c>
      <c r="BK355">
        <v>640</v>
      </c>
      <c r="BL355">
        <v>17.00318809776833</v>
      </c>
      <c r="BM355" s="3">
        <v>1772.8</v>
      </c>
      <c r="BN355">
        <v>628.89999999999986</v>
      </c>
      <c r="BO355">
        <v>26.185618520214845</v>
      </c>
      <c r="BP355">
        <v>9166191796.9012394</v>
      </c>
      <c r="BQ355">
        <v>276812062.19503021</v>
      </c>
      <c r="BR355">
        <v>2.9313983804886652</v>
      </c>
      <c r="BS355">
        <v>0.1239662</v>
      </c>
      <c r="BT355">
        <v>0.61695049999999996</v>
      </c>
      <c r="BU355">
        <v>8.2506045644470198</v>
      </c>
    </row>
    <row r="356" spans="1:73" x14ac:dyDescent="0.2">
      <c r="A356">
        <v>326</v>
      </c>
      <c r="B356" t="s">
        <v>89</v>
      </c>
      <c r="C356">
        <v>2010</v>
      </c>
      <c r="D356">
        <v>13</v>
      </c>
      <c r="E356">
        <v>0</v>
      </c>
      <c r="F356" t="s">
        <v>90</v>
      </c>
      <c r="G356">
        <v>0.21762000000000001</v>
      </c>
      <c r="H356">
        <v>0</v>
      </c>
      <c r="I356">
        <v>0.26400000000000001</v>
      </c>
      <c r="J356">
        <v>0.30099999999999999</v>
      </c>
      <c r="K356">
        <v>1.143</v>
      </c>
      <c r="L356">
        <v>1.2190000000000001</v>
      </c>
      <c r="M356">
        <v>0.432</v>
      </c>
      <c r="N356">
        <v>0.47799999999999998</v>
      </c>
      <c r="O356">
        <v>-0.66100000000000003</v>
      </c>
      <c r="P356">
        <v>5.2110000000000003</v>
      </c>
      <c r="Q356">
        <v>0</v>
      </c>
      <c r="R356">
        <v>15169.1</v>
      </c>
      <c r="S356">
        <v>3.984</v>
      </c>
      <c r="T356">
        <v>3.49</v>
      </c>
      <c r="U356">
        <v>3.71</v>
      </c>
      <c r="V356">
        <v>51.6</v>
      </c>
      <c r="W356" t="s">
        <v>54</v>
      </c>
      <c r="X356" t="s">
        <v>91</v>
      </c>
      <c r="Y356" t="s">
        <v>56</v>
      </c>
      <c r="Z356">
        <v>0.58099999999999996</v>
      </c>
      <c r="AA356">
        <v>0.77100000000000002</v>
      </c>
      <c r="AB356">
        <v>71</v>
      </c>
      <c r="AE356">
        <v>-79.518799999999999</v>
      </c>
      <c r="AF356">
        <v>8.9942700000000002</v>
      </c>
      <c r="AG356" t="s">
        <v>70</v>
      </c>
      <c r="AH356" t="s">
        <v>58</v>
      </c>
      <c r="AI356">
        <v>10232.36</v>
      </c>
      <c r="AJ356">
        <v>5.8279930000000002</v>
      </c>
      <c r="AK356">
        <v>37300000000</v>
      </c>
      <c r="AL356">
        <v>84.274240000000006</v>
      </c>
      <c r="AN356">
        <v>-10.57361</v>
      </c>
      <c r="AO356">
        <v>55.984789999999997</v>
      </c>
      <c r="AP356">
        <v>148.27500000000001</v>
      </c>
      <c r="AQ356">
        <v>8.6585439999999991</v>
      </c>
      <c r="AR356">
        <v>12.61265</v>
      </c>
      <c r="AS356">
        <v>4.5850010000000001</v>
      </c>
      <c r="AT356">
        <v>1.2499020000000001</v>
      </c>
      <c r="AU356">
        <v>0.436921</v>
      </c>
      <c r="AV356">
        <v>1.2499020000000001</v>
      </c>
      <c r="AW356">
        <v>24.341539999999998</v>
      </c>
      <c r="AX356">
        <v>1.08</v>
      </c>
      <c r="AY356">
        <v>2.0986183897093902</v>
      </c>
      <c r="AZ356" s="1">
        <v>0.36300000548362699</v>
      </c>
      <c r="BA356" s="1">
        <v>0.12150000035762799</v>
      </c>
      <c r="BB356" s="1">
        <v>0.48449999094009399</v>
      </c>
      <c r="BC356" s="1">
        <v>3.6502534999999998</v>
      </c>
      <c r="BD356" s="2">
        <v>148.27429173674199</v>
      </c>
      <c r="BE356" s="2">
        <f t="shared" si="10"/>
        <v>9.2941859824699975</v>
      </c>
      <c r="BF356" s="2">
        <f t="shared" si="11"/>
        <v>6.687421866625189</v>
      </c>
      <c r="BG356">
        <v>24234</v>
      </c>
      <c r="BH356" s="3">
        <v>2422</v>
      </c>
      <c r="BI356">
        <v>11.10397946084724</v>
      </c>
      <c r="BJ356" s="3">
        <v>5230</v>
      </c>
      <c r="BK356">
        <v>826</v>
      </c>
      <c r="BL356">
        <v>18.755676657584015</v>
      </c>
      <c r="BM356" s="3">
        <v>2362.5</v>
      </c>
      <c r="BN356">
        <v>589.70000000000005</v>
      </c>
      <c r="BO356">
        <v>33.263763537906144</v>
      </c>
      <c r="BP356">
        <v>10246345029.711201</v>
      </c>
      <c r="BQ356">
        <v>1080153232.8099613</v>
      </c>
      <c r="BR356">
        <v>11.784100275701435</v>
      </c>
      <c r="BS356">
        <v>0.66389560000000003</v>
      </c>
      <c r="BT356">
        <v>7.9635499999999997</v>
      </c>
      <c r="BU356">
        <v>0.28705462619711902</v>
      </c>
    </row>
    <row r="357" spans="1:73" x14ac:dyDescent="0.2">
      <c r="A357">
        <v>327</v>
      </c>
      <c r="B357" t="s">
        <v>89</v>
      </c>
      <c r="C357">
        <v>2011</v>
      </c>
      <c r="D357">
        <v>13</v>
      </c>
      <c r="E357">
        <v>0</v>
      </c>
      <c r="F357" t="s">
        <v>90</v>
      </c>
      <c r="G357">
        <v>0.21762000000000001</v>
      </c>
      <c r="H357">
        <v>0</v>
      </c>
      <c r="I357">
        <v>0.26400000000000001</v>
      </c>
      <c r="J357">
        <v>0.30099999999999999</v>
      </c>
      <c r="K357">
        <v>1.143</v>
      </c>
      <c r="L357">
        <v>1.2190000000000001</v>
      </c>
      <c r="M357">
        <v>0.432</v>
      </c>
      <c r="N357">
        <v>0.47799999999999998</v>
      </c>
      <c r="O357">
        <v>-0.66100000000000003</v>
      </c>
      <c r="P357">
        <v>5.4020000000000001</v>
      </c>
      <c r="Q357">
        <v>0</v>
      </c>
      <c r="R357">
        <v>16762</v>
      </c>
      <c r="S357">
        <v>9.3979999999999997</v>
      </c>
      <c r="T357">
        <v>5.88</v>
      </c>
      <c r="U357">
        <v>2.31</v>
      </c>
      <c r="V357">
        <v>51.3</v>
      </c>
      <c r="W357" t="s">
        <v>54</v>
      </c>
      <c r="X357" t="s">
        <v>91</v>
      </c>
      <c r="Y357" t="s">
        <v>56</v>
      </c>
      <c r="Z357">
        <v>0.58099999999999996</v>
      </c>
      <c r="AA357">
        <v>0.77100000000000002</v>
      </c>
      <c r="AB357">
        <v>71</v>
      </c>
      <c r="AE357">
        <v>-79.518799999999999</v>
      </c>
      <c r="AF357">
        <v>8.9942700000000002</v>
      </c>
      <c r="AG357" t="s">
        <v>70</v>
      </c>
      <c r="AH357" t="s">
        <v>58</v>
      </c>
      <c r="AI357">
        <v>11193.99</v>
      </c>
      <c r="AJ357">
        <v>11.31363</v>
      </c>
      <c r="AK357">
        <v>41500000000</v>
      </c>
      <c r="AL357">
        <v>82.636449999999996</v>
      </c>
      <c r="AN357">
        <v>-13.03861</v>
      </c>
      <c r="AO357">
        <v>55.770609999999998</v>
      </c>
      <c r="AP357">
        <v>162.48759999999999</v>
      </c>
      <c r="AQ357">
        <v>12.672470000000001</v>
      </c>
      <c r="AR357">
        <v>11.86408</v>
      </c>
      <c r="AS357">
        <v>5.485633</v>
      </c>
      <c r="AT357">
        <v>1.771557</v>
      </c>
      <c r="AU357">
        <v>0.436921</v>
      </c>
      <c r="AV357">
        <v>1.771557</v>
      </c>
      <c r="AW357">
        <v>24.448720000000002</v>
      </c>
      <c r="AX357">
        <v>2.39</v>
      </c>
      <c r="AY357">
        <v>2.0986183897093902</v>
      </c>
      <c r="AZ357" s="1">
        <v>0.36300000548362699</v>
      </c>
      <c r="BA357" s="1">
        <v>0.12150000035762799</v>
      </c>
      <c r="BB357" s="1">
        <v>0.48449999094009399</v>
      </c>
      <c r="BC357" s="1">
        <v>3.6502534999999998</v>
      </c>
      <c r="BD357" s="2">
        <v>162.487500802912</v>
      </c>
      <c r="BE357" s="2">
        <f t="shared" si="10"/>
        <v>14.213209066170009</v>
      </c>
      <c r="BF357" s="2">
        <f t="shared" si="11"/>
        <v>9.5857541450309363</v>
      </c>
      <c r="BG357">
        <v>26277</v>
      </c>
      <c r="BH357" s="3">
        <v>2043</v>
      </c>
      <c r="BI357">
        <v>8.4303045308244613</v>
      </c>
      <c r="BJ357" s="3">
        <v>6229</v>
      </c>
      <c r="BK357">
        <v>999</v>
      </c>
      <c r="BL357">
        <v>19.101338432122372</v>
      </c>
      <c r="BM357" s="3">
        <v>2956.2</v>
      </c>
      <c r="BN357">
        <v>593.69999999999982</v>
      </c>
      <c r="BO357">
        <v>25.130158730158723</v>
      </c>
      <c r="BP357">
        <v>12169439841.0924</v>
      </c>
      <c r="BQ357">
        <v>1923094811.3811989</v>
      </c>
      <c r="BR357">
        <v>18.768593150092293</v>
      </c>
      <c r="BS357">
        <v>0.7485733</v>
      </c>
      <c r="BT357">
        <v>7.1683120000000002</v>
      </c>
      <c r="BU357">
        <v>7.4553662932554703</v>
      </c>
    </row>
    <row r="358" spans="1:73" x14ac:dyDescent="0.2">
      <c r="A358">
        <v>328</v>
      </c>
      <c r="B358" t="s">
        <v>89</v>
      </c>
      <c r="C358">
        <v>2012</v>
      </c>
      <c r="D358">
        <v>13</v>
      </c>
      <c r="E358">
        <v>0</v>
      </c>
      <c r="F358" t="s">
        <v>90</v>
      </c>
      <c r="G358">
        <v>0.21762000000000001</v>
      </c>
      <c r="H358">
        <v>0</v>
      </c>
      <c r="I358">
        <v>0.26400000000000001</v>
      </c>
      <c r="J358">
        <v>0.30099999999999999</v>
      </c>
      <c r="K358">
        <v>1.143</v>
      </c>
      <c r="L358">
        <v>1.2190000000000001</v>
      </c>
      <c r="M358">
        <v>0.432</v>
      </c>
      <c r="N358">
        <v>0.47799999999999998</v>
      </c>
      <c r="O358">
        <v>-0.66100000000000003</v>
      </c>
      <c r="P358">
        <v>5.4020000000000001</v>
      </c>
      <c r="Q358">
        <v>0</v>
      </c>
      <c r="R358">
        <v>18051</v>
      </c>
      <c r="S358">
        <v>7.9109999999999996</v>
      </c>
      <c r="T358">
        <v>5.7</v>
      </c>
      <c r="U358">
        <v>2.39</v>
      </c>
      <c r="V358">
        <v>51.7</v>
      </c>
      <c r="W358" t="s">
        <v>54</v>
      </c>
      <c r="X358" t="s">
        <v>91</v>
      </c>
      <c r="Y358" t="s">
        <v>56</v>
      </c>
      <c r="Z358">
        <v>0.58099999999999996</v>
      </c>
      <c r="AA358">
        <v>0.77100000000000002</v>
      </c>
      <c r="AB358">
        <v>71</v>
      </c>
      <c r="AE358">
        <v>-79.518799999999999</v>
      </c>
      <c r="AF358">
        <v>8.9942700000000002</v>
      </c>
      <c r="AG358" t="s">
        <v>70</v>
      </c>
      <c r="AH358" t="s">
        <v>58</v>
      </c>
      <c r="AI358">
        <v>12079.54</v>
      </c>
      <c r="AJ358">
        <v>9.7788280000000007</v>
      </c>
      <c r="AK358">
        <v>45600000000</v>
      </c>
      <c r="AL358">
        <v>81.887180000000001</v>
      </c>
      <c r="AN358">
        <v>-9.2384979999999999</v>
      </c>
      <c r="AO358">
        <v>55.517400000000002</v>
      </c>
      <c r="AP358">
        <v>158.05869999999999</v>
      </c>
      <c r="AQ358">
        <v>8.3648830000000007</v>
      </c>
      <c r="AR358">
        <v>10.85562</v>
      </c>
      <c r="AS358">
        <v>1.534799</v>
      </c>
      <c r="AT358">
        <v>1.7404660000000001</v>
      </c>
      <c r="AU358">
        <v>0.436921</v>
      </c>
      <c r="AV358">
        <v>1.7404660000000001</v>
      </c>
      <c r="AW358">
        <v>24.542020000000001</v>
      </c>
      <c r="AX358">
        <v>0.1800003</v>
      </c>
      <c r="AY358">
        <v>2.0986183897093902</v>
      </c>
      <c r="AZ358" s="1">
        <v>0.36300000548362699</v>
      </c>
      <c r="BA358" s="1">
        <v>0.12150000035762799</v>
      </c>
      <c r="BB358" s="1">
        <v>0.48449999094009399</v>
      </c>
      <c r="BC358" s="1">
        <v>3.6502534999999998</v>
      </c>
      <c r="BD358" s="2">
        <v>158.058436046715</v>
      </c>
      <c r="BE358" s="2">
        <f t="shared" si="10"/>
        <v>4.4290647561969934</v>
      </c>
      <c r="BF358" s="2">
        <f t="shared" si="11"/>
        <v>2.7257879740357347</v>
      </c>
      <c r="BG358">
        <v>29220</v>
      </c>
      <c r="BH358" s="3">
        <v>2943</v>
      </c>
      <c r="BI358">
        <v>11.19990866537276</v>
      </c>
      <c r="BJ358" s="3">
        <v>7069</v>
      </c>
      <c r="BK358">
        <v>840</v>
      </c>
      <c r="BL358">
        <v>13.485310643763043</v>
      </c>
      <c r="BM358" s="3">
        <v>3254</v>
      </c>
      <c r="BN358">
        <v>297.80000000000018</v>
      </c>
      <c r="BO358">
        <v>10.073743319125912</v>
      </c>
      <c r="BP358">
        <v>15213851467.2383</v>
      </c>
      <c r="BQ358">
        <v>3044411626.1459007</v>
      </c>
      <c r="BR358">
        <v>25.016859164428201</v>
      </c>
      <c r="BS358">
        <v>1.008451</v>
      </c>
      <c r="BT358">
        <v>1.987946</v>
      </c>
      <c r="BU358">
        <v>5.4674207067488503</v>
      </c>
    </row>
    <row r="359" spans="1:73" x14ac:dyDescent="0.2">
      <c r="A359">
        <v>329</v>
      </c>
      <c r="B359" t="s">
        <v>89</v>
      </c>
      <c r="C359">
        <v>2013</v>
      </c>
      <c r="D359">
        <v>13</v>
      </c>
      <c r="E359">
        <v>0</v>
      </c>
      <c r="F359" t="s">
        <v>90</v>
      </c>
      <c r="G359">
        <v>0.21762000000000001</v>
      </c>
      <c r="H359">
        <v>0</v>
      </c>
      <c r="I359">
        <v>0.26400000000000001</v>
      </c>
      <c r="J359">
        <v>0.30099999999999999</v>
      </c>
      <c r="K359">
        <v>1.143</v>
      </c>
      <c r="L359">
        <v>1.2190000000000001</v>
      </c>
      <c r="M359">
        <v>0.432</v>
      </c>
      <c r="N359">
        <v>0.47799999999999998</v>
      </c>
      <c r="O359">
        <v>-0.66100000000000003</v>
      </c>
      <c r="P359">
        <v>4.5</v>
      </c>
      <c r="Q359">
        <v>0</v>
      </c>
      <c r="R359">
        <v>18979</v>
      </c>
      <c r="S359">
        <v>5.0970000000000004</v>
      </c>
      <c r="T359">
        <v>4.03</v>
      </c>
      <c r="U359">
        <v>2.2999999999999998</v>
      </c>
      <c r="V359">
        <v>51.5</v>
      </c>
      <c r="W359" t="s">
        <v>54</v>
      </c>
      <c r="X359" t="s">
        <v>91</v>
      </c>
      <c r="Y359" t="s">
        <v>56</v>
      </c>
      <c r="Z359">
        <v>0.57299999999999995</v>
      </c>
      <c r="AA359">
        <v>0.77300000000000002</v>
      </c>
      <c r="AB359">
        <v>71</v>
      </c>
      <c r="AE359">
        <v>-79.518799999999999</v>
      </c>
      <c r="AF359">
        <v>8.9942700000000002</v>
      </c>
      <c r="AG359" t="s">
        <v>70</v>
      </c>
      <c r="AH359" t="s">
        <v>58</v>
      </c>
      <c r="AI359">
        <v>12695.24</v>
      </c>
      <c r="AJ359">
        <v>6.9034370000000003</v>
      </c>
      <c r="AK359">
        <v>48700000000</v>
      </c>
      <c r="AL359">
        <v>67.373990000000006</v>
      </c>
      <c r="AN359">
        <v>-8.9561410000000006</v>
      </c>
      <c r="AO359">
        <v>55.250079999999997</v>
      </c>
      <c r="AP359">
        <v>137.63380000000001</v>
      </c>
      <c r="AQ359">
        <v>8.3311410000000006</v>
      </c>
      <c r="AR359">
        <v>10.712719999999999</v>
      </c>
      <c r="AS359">
        <v>2.875391</v>
      </c>
      <c r="AT359">
        <v>1.3937660000000001</v>
      </c>
      <c r="AU359">
        <v>0.436921</v>
      </c>
      <c r="AV359">
        <v>1.3937660000000001</v>
      </c>
      <c r="AW359">
        <v>24.608779999999999</v>
      </c>
      <c r="AX359">
        <v>1.67</v>
      </c>
      <c r="AY359">
        <v>2.0986183897093902</v>
      </c>
      <c r="AZ359" s="1">
        <v>0.36300000548362699</v>
      </c>
      <c r="BA359" s="1">
        <v>0.12150000035762799</v>
      </c>
      <c r="BB359" s="1">
        <v>0.48449999094009399</v>
      </c>
      <c r="BC359" s="1">
        <v>3.6502534999999998</v>
      </c>
      <c r="BD359" s="2">
        <v>137.63393807761801</v>
      </c>
      <c r="BE359" s="2">
        <f t="shared" si="10"/>
        <v>20.42449796909699</v>
      </c>
      <c r="BF359" s="2">
        <f t="shared" si="11"/>
        <v>12.922118224085441</v>
      </c>
      <c r="BG359">
        <v>25808</v>
      </c>
      <c r="BH359" s="3">
        <v>3412</v>
      </c>
      <c r="BI359">
        <v>11.676933607118412</v>
      </c>
      <c r="BJ359" s="3">
        <v>6347</v>
      </c>
      <c r="BK359">
        <v>722</v>
      </c>
      <c r="BL359">
        <v>10.213608714103833</v>
      </c>
      <c r="BM359" s="3">
        <v>3612.3</v>
      </c>
      <c r="BN359">
        <v>358.30000000000018</v>
      </c>
      <c r="BO359">
        <v>11.011063306699452</v>
      </c>
      <c r="BP359">
        <v>18419791073.2062</v>
      </c>
      <c r="BQ359">
        <v>3205939605.9678993</v>
      </c>
      <c r="BR359">
        <v>21.072504966093629</v>
      </c>
      <c r="BS359">
        <v>0.14290330000000001</v>
      </c>
      <c r="BT359">
        <v>0.19991349999999999</v>
      </c>
      <c r="BU359">
        <v>5.2675072977563104</v>
      </c>
    </row>
    <row r="360" spans="1:73" x14ac:dyDescent="0.2">
      <c r="A360">
        <v>330</v>
      </c>
      <c r="B360" t="s">
        <v>89</v>
      </c>
      <c r="C360">
        <v>2014</v>
      </c>
      <c r="D360">
        <v>13</v>
      </c>
      <c r="E360">
        <v>1</v>
      </c>
      <c r="F360" t="s">
        <v>90</v>
      </c>
      <c r="G360">
        <v>0.21762000000000001</v>
      </c>
      <c r="H360">
        <v>0</v>
      </c>
      <c r="I360">
        <v>0.92</v>
      </c>
      <c r="J360">
        <v>1.03</v>
      </c>
      <c r="K360">
        <v>2.1309999999999998</v>
      </c>
      <c r="L360">
        <v>2.2549999999999999</v>
      </c>
      <c r="M360">
        <v>0.84599999999999997</v>
      </c>
      <c r="N360">
        <v>0.95</v>
      </c>
      <c r="O360">
        <v>-0.66100000000000003</v>
      </c>
      <c r="P360">
        <v>4.5</v>
      </c>
      <c r="Q360">
        <v>1</v>
      </c>
      <c r="R360">
        <v>19855</v>
      </c>
      <c r="S360">
        <v>3.2930000000000001</v>
      </c>
      <c r="T360">
        <v>2.63</v>
      </c>
      <c r="U360">
        <v>2.72</v>
      </c>
      <c r="V360">
        <v>50.5</v>
      </c>
      <c r="W360" t="s">
        <v>54</v>
      </c>
      <c r="X360" t="s">
        <v>91</v>
      </c>
      <c r="Y360" t="s">
        <v>56</v>
      </c>
      <c r="Z360">
        <v>0.56599999999999995</v>
      </c>
      <c r="AA360">
        <v>0.76700000000000002</v>
      </c>
      <c r="AB360">
        <v>71</v>
      </c>
      <c r="AE360">
        <v>-79.518799999999999</v>
      </c>
      <c r="AF360">
        <v>8.9942700000000002</v>
      </c>
      <c r="AG360" t="s">
        <v>70</v>
      </c>
      <c r="AH360" t="s">
        <v>58</v>
      </c>
      <c r="AI360">
        <v>13113.27</v>
      </c>
      <c r="AJ360">
        <v>5.0666130000000003</v>
      </c>
      <c r="AK360">
        <v>51200000000</v>
      </c>
      <c r="AL360">
        <v>83.311959999999999</v>
      </c>
      <c r="AN360">
        <v>-13.37541</v>
      </c>
      <c r="AO360">
        <v>55.003929999999997</v>
      </c>
      <c r="AP360">
        <v>119.09050000000001</v>
      </c>
      <c r="AQ360">
        <v>9.9844830000000009</v>
      </c>
      <c r="AR360">
        <v>10.041370000000001</v>
      </c>
      <c r="AS360">
        <v>1.8368230000000001</v>
      </c>
      <c r="AT360">
        <v>0.96698390000000001</v>
      </c>
      <c r="AU360">
        <v>0.436921</v>
      </c>
      <c r="AV360">
        <v>0.96698390000000001</v>
      </c>
      <c r="AW360">
        <v>24.658200000000001</v>
      </c>
      <c r="AX360">
        <v>1.4</v>
      </c>
      <c r="AY360">
        <v>2.0986183897093902</v>
      </c>
      <c r="AZ360" s="1">
        <v>4.4499997049570097E-2</v>
      </c>
      <c r="BA360" s="1">
        <v>0.100500002503395</v>
      </c>
      <c r="BB360" s="1">
        <v>0.144999995827675</v>
      </c>
      <c r="BC360" s="1">
        <v>2.9132289999999998</v>
      </c>
      <c r="BD360" s="2">
        <v>119.090592357039</v>
      </c>
      <c r="BE360" s="2">
        <f t="shared" si="10"/>
        <v>18.543345720579012</v>
      </c>
      <c r="BF360" s="2">
        <f t="shared" si="11"/>
        <v>13.472945684458711</v>
      </c>
      <c r="BG360">
        <v>34653</v>
      </c>
      <c r="BH360" s="3">
        <v>8845</v>
      </c>
      <c r="BI360">
        <v>34.272318660880345</v>
      </c>
      <c r="BJ360" s="3">
        <v>8317</v>
      </c>
      <c r="BK360">
        <v>1970</v>
      </c>
      <c r="BL360">
        <v>31.038285804316999</v>
      </c>
      <c r="BM360" s="3">
        <v>4129.6000000000004</v>
      </c>
      <c r="BN360">
        <v>517.30000000000018</v>
      </c>
      <c r="BO360">
        <v>14.320516014727461</v>
      </c>
      <c r="BP360">
        <v>20028687910.933601</v>
      </c>
      <c r="BQ360">
        <v>1608896837.7274017</v>
      </c>
      <c r="BR360">
        <v>8.7346095910269881</v>
      </c>
      <c r="BS360">
        <v>0.67134859999999996</v>
      </c>
      <c r="BT360">
        <v>0.36492439999999998</v>
      </c>
      <c r="BU360">
        <v>4.90258260411305</v>
      </c>
    </row>
    <row r="361" spans="1:73" x14ac:dyDescent="0.2">
      <c r="A361">
        <v>331</v>
      </c>
      <c r="B361" t="s">
        <v>89</v>
      </c>
      <c r="C361">
        <v>2015</v>
      </c>
      <c r="D361">
        <v>13</v>
      </c>
      <c r="E361">
        <v>0</v>
      </c>
      <c r="F361" t="s">
        <v>90</v>
      </c>
      <c r="G361">
        <v>0.21762000000000001</v>
      </c>
      <c r="H361">
        <v>0</v>
      </c>
      <c r="I361">
        <v>0.92</v>
      </c>
      <c r="J361">
        <v>1.03</v>
      </c>
      <c r="K361">
        <v>2.1309999999999998</v>
      </c>
      <c r="L361">
        <v>2.2549999999999999</v>
      </c>
      <c r="M361">
        <v>0.84599999999999997</v>
      </c>
      <c r="N361">
        <v>0.95</v>
      </c>
      <c r="O361">
        <v>-0.66100000000000003</v>
      </c>
      <c r="P361">
        <v>5.6159999999999997</v>
      </c>
      <c r="Q361">
        <v>0</v>
      </c>
      <c r="R361">
        <v>20723</v>
      </c>
      <c r="S361">
        <v>3.9430000000000001</v>
      </c>
      <c r="T361">
        <v>0.14000000000000001</v>
      </c>
      <c r="U361">
        <v>3</v>
      </c>
      <c r="V361">
        <v>50.8</v>
      </c>
      <c r="W361" t="s">
        <v>54</v>
      </c>
      <c r="X361" t="s">
        <v>91</v>
      </c>
      <c r="Y361" t="s">
        <v>56</v>
      </c>
      <c r="Z361">
        <v>0.57999999999999996</v>
      </c>
      <c r="AA361">
        <v>0.78200000000000003</v>
      </c>
      <c r="AB361">
        <v>71</v>
      </c>
      <c r="AE361">
        <v>-79.518799999999999</v>
      </c>
      <c r="AF361">
        <v>8.9942700000000002</v>
      </c>
      <c r="AG361" t="s">
        <v>70</v>
      </c>
      <c r="AH361" t="s">
        <v>58</v>
      </c>
      <c r="AI361">
        <v>13630.3</v>
      </c>
      <c r="AJ361">
        <v>5.7326899999999998</v>
      </c>
      <c r="AK361">
        <v>54100000000</v>
      </c>
      <c r="AL361">
        <v>85.502179999999996</v>
      </c>
      <c r="AN361">
        <v>-8.9632950000000005</v>
      </c>
      <c r="AO361">
        <v>54.796199999999999</v>
      </c>
      <c r="AP361">
        <v>99.93656</v>
      </c>
      <c r="AQ361">
        <v>9.4641110000000008</v>
      </c>
      <c r="AR361">
        <v>10.285489999999999</v>
      </c>
      <c r="AS361">
        <v>0.66607709999999998</v>
      </c>
      <c r="AT361">
        <v>-1.966113</v>
      </c>
      <c r="AU361">
        <v>0.436921</v>
      </c>
      <c r="AV361">
        <v>-1.966113</v>
      </c>
      <c r="AW361">
        <v>24.713950000000001</v>
      </c>
      <c r="AX361">
        <v>2.4900000000000002</v>
      </c>
      <c r="AY361">
        <v>2.0986183897093902</v>
      </c>
      <c r="AZ361" s="1">
        <v>4.4499997049570097E-2</v>
      </c>
      <c r="BA361" s="1">
        <v>0.100500002503395</v>
      </c>
      <c r="BB361" s="1">
        <v>0.144999995827675</v>
      </c>
      <c r="BC361" s="1">
        <v>2.9132289999999998</v>
      </c>
      <c r="BD361" s="2">
        <v>99.936683877857007</v>
      </c>
      <c r="BE361" s="2">
        <f t="shared" si="10"/>
        <v>19.153908479181993</v>
      </c>
      <c r="BF361" s="2">
        <f t="shared" si="11"/>
        <v>16.083477376414173</v>
      </c>
      <c r="BG361">
        <v>36191</v>
      </c>
      <c r="BH361" s="3">
        <v>1538</v>
      </c>
      <c r="BI361">
        <v>4.4382881712983</v>
      </c>
      <c r="BJ361" s="3">
        <v>8215</v>
      </c>
      <c r="BK361">
        <v>102</v>
      </c>
      <c r="BL361">
        <v>1.2264037513526511</v>
      </c>
      <c r="BM361" s="3">
        <v>3966.3</v>
      </c>
      <c r="BN361">
        <v>163.30000000000018</v>
      </c>
      <c r="BO361">
        <v>3.9543781480046536</v>
      </c>
      <c r="BP361">
        <v>21329900000</v>
      </c>
      <c r="BQ361">
        <v>1301212089.0663986</v>
      </c>
      <c r="BR361">
        <v>6.4967415481873418</v>
      </c>
      <c r="BS361">
        <v>0.24412159999999999</v>
      </c>
      <c r="BT361">
        <v>3.5969250000000001</v>
      </c>
      <c r="BU361">
        <v>1.3056575119088301</v>
      </c>
    </row>
    <row r="362" spans="1:73" x14ac:dyDescent="0.2">
      <c r="A362">
        <v>332</v>
      </c>
      <c r="B362" t="s">
        <v>89</v>
      </c>
      <c r="C362">
        <v>2016</v>
      </c>
      <c r="D362">
        <v>13</v>
      </c>
      <c r="E362">
        <v>0</v>
      </c>
      <c r="F362" t="s">
        <v>90</v>
      </c>
      <c r="G362">
        <v>0.21762000000000001</v>
      </c>
      <c r="H362">
        <v>0</v>
      </c>
      <c r="I362">
        <v>0.92</v>
      </c>
      <c r="J362">
        <v>1.03</v>
      </c>
      <c r="K362">
        <v>2.1309999999999998</v>
      </c>
      <c r="L362">
        <v>2.2549999999999999</v>
      </c>
      <c r="M362">
        <v>0.84599999999999997</v>
      </c>
      <c r="N362">
        <v>0.95</v>
      </c>
      <c r="O362">
        <v>-0.66100000000000003</v>
      </c>
      <c r="P362">
        <v>6.1559999999999997</v>
      </c>
      <c r="Q362">
        <v>0</v>
      </c>
      <c r="R362">
        <v>21449</v>
      </c>
      <c r="S362">
        <v>3.17</v>
      </c>
      <c r="T362">
        <v>0.74</v>
      </c>
      <c r="U362">
        <v>3.31</v>
      </c>
      <c r="V362">
        <v>50.4</v>
      </c>
      <c r="W362" t="s">
        <v>54</v>
      </c>
      <c r="X362" t="s">
        <v>91</v>
      </c>
      <c r="Y362" t="s">
        <v>56</v>
      </c>
      <c r="Z362">
        <v>0.57999999999999996</v>
      </c>
      <c r="AA362">
        <v>0.78200000000000003</v>
      </c>
      <c r="AB362">
        <v>71</v>
      </c>
      <c r="AE362">
        <v>-79.518799999999999</v>
      </c>
      <c r="AF362">
        <v>8.9942700000000002</v>
      </c>
      <c r="AG362" t="s">
        <v>70</v>
      </c>
      <c r="AH362" t="s">
        <v>58</v>
      </c>
      <c r="AI362">
        <v>14062.44</v>
      </c>
      <c r="AJ362">
        <v>4.9534349999999998</v>
      </c>
      <c r="AK362">
        <v>56800000000</v>
      </c>
      <c r="AL362">
        <v>86.885149999999996</v>
      </c>
      <c r="AN362">
        <v>-7.7842330000000004</v>
      </c>
      <c r="AO362">
        <v>54.630479999999999</v>
      </c>
      <c r="AP362">
        <v>87.408420000000007</v>
      </c>
      <c r="AQ362">
        <v>9.0633110000000006</v>
      </c>
      <c r="AR362">
        <v>10.97143</v>
      </c>
      <c r="AS362">
        <v>0.77925540000000004</v>
      </c>
      <c r="AT362">
        <v>-0.30110510000000001</v>
      </c>
      <c r="AU362">
        <v>0.436921</v>
      </c>
      <c r="AV362">
        <v>-0.30110510000000001</v>
      </c>
      <c r="AW362">
        <v>24.76229</v>
      </c>
      <c r="AX362">
        <v>0.6</v>
      </c>
      <c r="AY362">
        <v>2.0986183897093902</v>
      </c>
      <c r="AZ362" s="1">
        <v>4.4499997049570097E-2</v>
      </c>
      <c r="BA362" s="1">
        <v>0.100500002503395</v>
      </c>
      <c r="BB362" s="1">
        <v>0.144999995827675</v>
      </c>
      <c r="BC362" s="1">
        <v>2.9132289999999998</v>
      </c>
      <c r="BD362" s="2">
        <v>87.408312705102006</v>
      </c>
      <c r="BE362" s="2">
        <f t="shared" si="10"/>
        <v>12.528371172755001</v>
      </c>
      <c r="BF362" s="2">
        <f t="shared" si="11"/>
        <v>12.536308677269323</v>
      </c>
      <c r="BG362">
        <v>38116</v>
      </c>
      <c r="BH362" s="3">
        <v>1925</v>
      </c>
      <c r="BI362">
        <v>5.3190019618137105</v>
      </c>
      <c r="BJ362" s="3">
        <v>8222</v>
      </c>
      <c r="BK362">
        <v>7</v>
      </c>
      <c r="BL362">
        <v>8.5209981740718199E-2</v>
      </c>
      <c r="BM362" s="3">
        <v>4652.2</v>
      </c>
      <c r="BN362">
        <v>685.89999999999964</v>
      </c>
      <c r="BO362">
        <v>17.293195169301356</v>
      </c>
      <c r="BP362">
        <v>21782699401.501099</v>
      </c>
      <c r="BQ362">
        <v>452799401.50109863</v>
      </c>
      <c r="BR362">
        <v>2.1228388389120374</v>
      </c>
      <c r="BS362">
        <v>0.68593219999999999</v>
      </c>
      <c r="BT362">
        <v>0.65768689999999996</v>
      </c>
      <c r="BU362">
        <v>1.9633444082234801</v>
      </c>
    </row>
    <row r="363" spans="1:73" x14ac:dyDescent="0.2">
      <c r="A363">
        <v>333</v>
      </c>
      <c r="B363" t="s">
        <v>89</v>
      </c>
      <c r="C363">
        <v>2017</v>
      </c>
      <c r="D363">
        <v>13</v>
      </c>
      <c r="E363">
        <v>0</v>
      </c>
      <c r="F363" t="s">
        <v>90</v>
      </c>
      <c r="G363">
        <v>0.21762000000000001</v>
      </c>
      <c r="H363">
        <v>0</v>
      </c>
      <c r="I363">
        <v>0.92</v>
      </c>
      <c r="J363">
        <v>1.03</v>
      </c>
      <c r="K363">
        <v>2.1309999999999998</v>
      </c>
      <c r="L363">
        <v>2.2549999999999999</v>
      </c>
      <c r="M363">
        <v>0.84599999999999997</v>
      </c>
      <c r="N363">
        <v>0.95</v>
      </c>
      <c r="O363">
        <v>-0.66100000000000003</v>
      </c>
      <c r="P363">
        <v>6.3449999999999998</v>
      </c>
      <c r="Q363">
        <v>0</v>
      </c>
      <c r="R363">
        <v>22207</v>
      </c>
      <c r="S363">
        <v>3.8069999999999999</v>
      </c>
      <c r="T363">
        <v>0.88</v>
      </c>
      <c r="U363">
        <v>3.9</v>
      </c>
      <c r="V363">
        <v>49.9</v>
      </c>
      <c r="W363" t="s">
        <v>54</v>
      </c>
      <c r="X363" t="s">
        <v>91</v>
      </c>
      <c r="Y363" t="s">
        <v>56</v>
      </c>
      <c r="Z363">
        <v>0.57799999999999996</v>
      </c>
      <c r="AA363">
        <v>0.76500000000000001</v>
      </c>
      <c r="AB363">
        <v>71</v>
      </c>
      <c r="AE363">
        <v>-79.518799999999999</v>
      </c>
      <c r="AF363">
        <v>8.9942700000000002</v>
      </c>
      <c r="AG363" t="s">
        <v>70</v>
      </c>
      <c r="AH363" t="s">
        <v>58</v>
      </c>
      <c r="AI363">
        <v>14596.74</v>
      </c>
      <c r="AJ363">
        <v>5.5913279999999999</v>
      </c>
      <c r="AK363">
        <v>60000000000</v>
      </c>
      <c r="AL363">
        <v>87.322569999999999</v>
      </c>
      <c r="AN363">
        <v>-6.0213520000000003</v>
      </c>
      <c r="AO363">
        <v>54.438720000000004</v>
      </c>
      <c r="AP363">
        <v>87.427880000000002</v>
      </c>
      <c r="AQ363">
        <v>6.5625140000000002</v>
      </c>
      <c r="AR363">
        <v>11.419589999999999</v>
      </c>
      <c r="AS363">
        <v>0.63789320000000005</v>
      </c>
      <c r="AT363">
        <v>-0.12783340000000001</v>
      </c>
      <c r="AU363">
        <v>0.436921</v>
      </c>
      <c r="AV363">
        <v>-0.12783340000000001</v>
      </c>
      <c r="AW363">
        <v>24.816700000000001</v>
      </c>
      <c r="AX363">
        <v>0.14000000000000001</v>
      </c>
      <c r="AY363">
        <v>2.0986183897093902</v>
      </c>
      <c r="AZ363" s="1">
        <v>4.4499997049570097E-2</v>
      </c>
      <c r="BA363" s="1">
        <v>0.100500002503395</v>
      </c>
      <c r="BB363" s="1">
        <v>0.144999995827675</v>
      </c>
      <c r="BC363" s="1" t="s">
        <v>101</v>
      </c>
      <c r="BD363" s="2">
        <v>87.427876867517995</v>
      </c>
      <c r="BE363" s="2">
        <f t="shared" si="10"/>
        <v>1.9564162415989017E-2</v>
      </c>
      <c r="BF363" s="2">
        <f t="shared" si="11"/>
        <v>2.2382496367358732E-2</v>
      </c>
      <c r="BG363">
        <v>40029</v>
      </c>
      <c r="BH363" s="3">
        <v>1913</v>
      </c>
      <c r="BI363">
        <v>5.0188897051107144</v>
      </c>
      <c r="BJ363" s="3">
        <v>8347</v>
      </c>
      <c r="BK363">
        <v>125</v>
      </c>
      <c r="BL363">
        <v>1.5203113597664801</v>
      </c>
      <c r="BM363" s="3">
        <v>4314.4859999999999</v>
      </c>
      <c r="BN363">
        <v>337.71399999999994</v>
      </c>
      <c r="BO363">
        <v>7.2592321912213569</v>
      </c>
      <c r="BP363">
        <v>23447870503.1665</v>
      </c>
      <c r="BQ363">
        <v>1665171101.6654015</v>
      </c>
      <c r="BR363">
        <v>7.6444662388842888</v>
      </c>
      <c r="BS363">
        <v>0.44816109999999998</v>
      </c>
      <c r="BT363">
        <v>0.45956049999999998</v>
      </c>
      <c r="BU363">
        <v>2.4229048545021601</v>
      </c>
    </row>
    <row r="364" spans="1:73" x14ac:dyDescent="0.2">
      <c r="A364">
        <v>334</v>
      </c>
      <c r="B364" t="s">
        <v>89</v>
      </c>
      <c r="C364">
        <v>2018</v>
      </c>
      <c r="D364">
        <v>13</v>
      </c>
      <c r="E364">
        <v>0</v>
      </c>
      <c r="F364" t="s">
        <v>90</v>
      </c>
      <c r="G364">
        <v>0.21762000000000001</v>
      </c>
      <c r="H364">
        <v>0</v>
      </c>
      <c r="I364">
        <v>0.92</v>
      </c>
      <c r="J364">
        <v>1.03</v>
      </c>
      <c r="K364">
        <v>2.1309999999999998</v>
      </c>
      <c r="L364">
        <v>2.2549999999999999</v>
      </c>
      <c r="M364">
        <v>0.84599999999999997</v>
      </c>
      <c r="N364">
        <v>0.95</v>
      </c>
      <c r="O364">
        <v>-0.45400000000000001</v>
      </c>
      <c r="P364">
        <v>6.141</v>
      </c>
      <c r="Q364">
        <v>0</v>
      </c>
      <c r="R364">
        <v>22637.200000000001</v>
      </c>
      <c r="S364">
        <v>1.952</v>
      </c>
      <c r="T364">
        <v>0.76</v>
      </c>
      <c r="U364">
        <v>3.89</v>
      </c>
      <c r="V364">
        <v>49.2</v>
      </c>
      <c r="W364" t="s">
        <v>54</v>
      </c>
      <c r="X364" t="s">
        <v>91</v>
      </c>
      <c r="Y364" t="s">
        <v>56</v>
      </c>
      <c r="Z364">
        <v>0.55800000000000005</v>
      </c>
      <c r="AA364">
        <v>0.75600000000000001</v>
      </c>
      <c r="AB364">
        <v>71</v>
      </c>
      <c r="AE364">
        <v>-79.518799999999999</v>
      </c>
      <c r="AF364">
        <v>8.9942700000000002</v>
      </c>
      <c r="AG364" t="s">
        <v>70</v>
      </c>
      <c r="AH364" t="s">
        <v>58</v>
      </c>
      <c r="AI364">
        <v>14880.66</v>
      </c>
      <c r="AJ364">
        <v>3.6853440000000002</v>
      </c>
      <c r="AK364">
        <v>62200000000</v>
      </c>
      <c r="AL364">
        <v>87.037869999999998</v>
      </c>
      <c r="AN364">
        <v>-7.6228959999999999</v>
      </c>
      <c r="AO364">
        <v>54.242539999999998</v>
      </c>
      <c r="AP364">
        <v>89.99051</v>
      </c>
      <c r="AQ364">
        <v>8.1122890000000005</v>
      </c>
      <c r="AR364">
        <v>11.54482</v>
      </c>
      <c r="AS364">
        <v>1.9059839999999999</v>
      </c>
      <c r="AT364">
        <v>-0.27443689999999998</v>
      </c>
      <c r="AU364">
        <v>0.20611599999999999</v>
      </c>
      <c r="AV364">
        <v>-0.27443689999999998</v>
      </c>
      <c r="AW364">
        <v>24.852889999999999</v>
      </c>
      <c r="AX364">
        <v>0.12</v>
      </c>
      <c r="AY364">
        <v>2.2629823725583602</v>
      </c>
      <c r="AZ364" s="1">
        <v>4.4499997049570097E-2</v>
      </c>
      <c r="BA364" s="1">
        <v>0.100500002503395</v>
      </c>
      <c r="BB364" s="1">
        <v>0.144999995827675</v>
      </c>
      <c r="BC364" s="1" t="s">
        <v>101</v>
      </c>
      <c r="BD364" s="2">
        <v>89.689360198649993</v>
      </c>
      <c r="BE364" s="2">
        <f t="shared" si="10"/>
        <v>2.2614833311319984</v>
      </c>
      <c r="BF364" s="2">
        <f t="shared" si="11"/>
        <v>2.5866844903015203</v>
      </c>
      <c r="BG364">
        <v>41220</v>
      </c>
      <c r="BH364" s="3">
        <v>1191</v>
      </c>
      <c r="BI364">
        <v>2.9753428764145995</v>
      </c>
      <c r="BJ364" s="3">
        <v>8726</v>
      </c>
      <c r="BK364">
        <v>379</v>
      </c>
      <c r="BL364">
        <v>4.5405534922726725</v>
      </c>
      <c r="BM364" s="3">
        <v>4917.3031000000001</v>
      </c>
      <c r="BN364">
        <v>602.81710000000021</v>
      </c>
      <c r="BO364">
        <v>13.971933157275286</v>
      </c>
      <c r="BP364">
        <v>23611873508.485901</v>
      </c>
      <c r="BQ364">
        <v>164003005.31940079</v>
      </c>
      <c r="BR364">
        <v>0.69943667292623923</v>
      </c>
      <c r="BS364">
        <v>0.1252317</v>
      </c>
      <c r="BT364">
        <v>1.5937790000000001</v>
      </c>
      <c r="BU364">
        <v>0.829126308957157</v>
      </c>
    </row>
    <row r="365" spans="1:73" x14ac:dyDescent="0.2">
      <c r="A365">
        <v>335</v>
      </c>
      <c r="B365" t="s">
        <v>89</v>
      </c>
      <c r="C365">
        <v>2019</v>
      </c>
      <c r="D365">
        <v>13</v>
      </c>
      <c r="E365">
        <v>1</v>
      </c>
      <c r="F365" t="s">
        <v>90</v>
      </c>
      <c r="G365">
        <v>0.21762000000000001</v>
      </c>
      <c r="H365">
        <v>0</v>
      </c>
      <c r="I365">
        <v>0.746</v>
      </c>
      <c r="J365">
        <v>0.871</v>
      </c>
      <c r="K365">
        <v>1.919</v>
      </c>
      <c r="L365">
        <v>2.0739999999999998</v>
      </c>
      <c r="M365">
        <v>0.73299999999999998</v>
      </c>
      <c r="N365">
        <v>0.88600000000000001</v>
      </c>
      <c r="O365">
        <v>-0.74399999999999999</v>
      </c>
      <c r="Q365">
        <v>1</v>
      </c>
      <c r="S365">
        <v>1.319</v>
      </c>
      <c r="T365">
        <v>-0.36</v>
      </c>
      <c r="U365">
        <v>4.74</v>
      </c>
      <c r="V365">
        <v>49.8</v>
      </c>
      <c r="W365" t="s">
        <v>54</v>
      </c>
      <c r="X365" t="s">
        <v>91</v>
      </c>
      <c r="Y365" t="s">
        <v>56</v>
      </c>
      <c r="Z365">
        <v>0.56299999999999994</v>
      </c>
      <c r="AA365">
        <v>0.76400000000000001</v>
      </c>
      <c r="AB365">
        <v>71</v>
      </c>
      <c r="AE365">
        <v>-79.518799999999999</v>
      </c>
      <c r="AF365">
        <v>8.9942700000000002</v>
      </c>
      <c r="AG365" t="s">
        <v>70</v>
      </c>
      <c r="AH365" t="s">
        <v>58</v>
      </c>
      <c r="AI365">
        <v>15073</v>
      </c>
      <c r="AJ365">
        <v>2.9797150000000001</v>
      </c>
      <c r="AK365">
        <v>64000000000</v>
      </c>
      <c r="AL365">
        <v>86.802909999999997</v>
      </c>
      <c r="AN365">
        <v>-4.9702799999999998</v>
      </c>
      <c r="AO365">
        <v>54.066459999999999</v>
      </c>
      <c r="AP365">
        <v>84.982339999999994</v>
      </c>
      <c r="AQ365">
        <v>6.6451710000000004</v>
      </c>
      <c r="AR365">
        <v>11.905900000000001</v>
      </c>
      <c r="AS365">
        <v>0.70562910000000001</v>
      </c>
      <c r="AU365">
        <v>0.55353600000000003</v>
      </c>
      <c r="AW365">
        <v>24.882249999999999</v>
      </c>
      <c r="AX365">
        <v>1.1200000000000001</v>
      </c>
      <c r="AY365">
        <v>2.03271399078927</v>
      </c>
      <c r="AZ365" s="1" t="s">
        <v>101</v>
      </c>
      <c r="BA365" s="1" t="s">
        <v>101</v>
      </c>
      <c r="BB365" s="1" t="s">
        <v>101</v>
      </c>
      <c r="BC365" s="1" t="s">
        <v>101</v>
      </c>
      <c r="BD365" s="2">
        <v>83.916589112384997</v>
      </c>
      <c r="BE365" s="2">
        <f t="shared" si="10"/>
        <v>5.7727710862649957</v>
      </c>
      <c r="BF365" s="2">
        <f t="shared" si="11"/>
        <v>6.4364056934725316</v>
      </c>
      <c r="BG365">
        <v>42244</v>
      </c>
      <c r="BH365" s="3">
        <v>1024</v>
      </c>
      <c r="BI365">
        <v>2.4842309558466762</v>
      </c>
      <c r="BJ365" s="3">
        <v>7909</v>
      </c>
      <c r="BK365">
        <v>817</v>
      </c>
      <c r="BL365">
        <v>9.3628237451294982</v>
      </c>
      <c r="BM365" s="3">
        <v>3726.3262</v>
      </c>
      <c r="BN365">
        <v>1190.9769000000001</v>
      </c>
      <c r="BO365">
        <v>24.220123831699539</v>
      </c>
      <c r="BP365">
        <v>22989730257.171299</v>
      </c>
      <c r="BQ365">
        <v>622143251.3146019</v>
      </c>
      <c r="BR365">
        <v>2.6348745731295278</v>
      </c>
      <c r="BS365">
        <v>0.36108210000000002</v>
      </c>
      <c r="BT365">
        <v>1.369013</v>
      </c>
      <c r="BU365">
        <v>2.19813960758187</v>
      </c>
    </row>
    <row r="366" spans="1:73" x14ac:dyDescent="0.2">
      <c r="A366">
        <v>364</v>
      </c>
      <c r="B366" t="s">
        <v>92</v>
      </c>
      <c r="C366">
        <v>1992</v>
      </c>
      <c r="D366">
        <v>14</v>
      </c>
      <c r="E366">
        <v>0</v>
      </c>
      <c r="F366" t="s">
        <v>93</v>
      </c>
      <c r="G366">
        <v>0.37524999999999997</v>
      </c>
      <c r="H366">
        <v>0</v>
      </c>
      <c r="O366">
        <v>-1.409</v>
      </c>
      <c r="Q366">
        <v>0</v>
      </c>
      <c r="R366">
        <v>5186.6000000000004</v>
      </c>
      <c r="S366">
        <v>-0.83599999999999997</v>
      </c>
      <c r="T366">
        <v>15.19</v>
      </c>
      <c r="U366">
        <v>4.9800000000000004</v>
      </c>
      <c r="W366" t="s">
        <v>54</v>
      </c>
      <c r="X366" t="s">
        <v>55</v>
      </c>
      <c r="Y366" t="s">
        <v>56</v>
      </c>
      <c r="Z366">
        <v>0.35399999999999998</v>
      </c>
      <c r="AA366">
        <v>0.47599999999999998</v>
      </c>
      <c r="AB366">
        <v>80</v>
      </c>
      <c r="AE366">
        <v>-57.636200000000002</v>
      </c>
      <c r="AF366">
        <v>-25.3005</v>
      </c>
      <c r="AG366" t="s">
        <v>57</v>
      </c>
      <c r="AH366" t="s">
        <v>58</v>
      </c>
      <c r="AI366">
        <v>3879.4540000000002</v>
      </c>
      <c r="AJ366">
        <v>1.696428</v>
      </c>
      <c r="AK366">
        <v>17200000000</v>
      </c>
      <c r="AL366">
        <v>19.967469999999999</v>
      </c>
      <c r="AN366">
        <v>-0.80056729999999998</v>
      </c>
      <c r="AO366">
        <v>82.985240000000005</v>
      </c>
      <c r="AP366">
        <v>89.497559999999993</v>
      </c>
      <c r="AQ366">
        <v>1.6416519999999999</v>
      </c>
      <c r="AR366">
        <v>8.0332109999999997</v>
      </c>
      <c r="AT366">
        <v>2.720637</v>
      </c>
      <c r="AU366">
        <v>1.9852810000000001</v>
      </c>
      <c r="AV366">
        <v>2.720637</v>
      </c>
      <c r="AW366">
        <v>23.570740000000001</v>
      </c>
      <c r="AY366">
        <v>1.5046847705256501</v>
      </c>
      <c r="AZ366" s="1">
        <v>0</v>
      </c>
      <c r="BA366" s="1">
        <v>0</v>
      </c>
      <c r="BB366" s="1">
        <v>0</v>
      </c>
      <c r="BC366" s="1">
        <v>1.8850908</v>
      </c>
      <c r="BD366" s="2">
        <v>89.497557559860994</v>
      </c>
      <c r="BE366" s="2"/>
      <c r="BF366" s="2"/>
      <c r="BG366">
        <v>1356552</v>
      </c>
      <c r="BH366" s="3">
        <v>299654</v>
      </c>
      <c r="BI366">
        <v>28.352215634810548</v>
      </c>
      <c r="BJ366" s="3">
        <v>803575</v>
      </c>
      <c r="BK366">
        <v>178408</v>
      </c>
      <c r="BL366">
        <v>28.537654738653831</v>
      </c>
      <c r="BM366" s="3">
        <v>117.5</v>
      </c>
      <c r="BN366">
        <v>31.400000000000006</v>
      </c>
      <c r="BO366">
        <v>36.469221835075501</v>
      </c>
      <c r="BP366">
        <v>4002118011.3022299</v>
      </c>
      <c r="BQ366">
        <v>128501417.40185976</v>
      </c>
      <c r="BR366">
        <v>3.3173499309200047</v>
      </c>
      <c r="BU366">
        <v>0.60154369439531796</v>
      </c>
    </row>
    <row r="367" spans="1:73" x14ac:dyDescent="0.2">
      <c r="A367">
        <v>365</v>
      </c>
      <c r="B367" t="s">
        <v>92</v>
      </c>
      <c r="C367">
        <v>1993</v>
      </c>
      <c r="D367">
        <v>14</v>
      </c>
      <c r="E367">
        <v>1</v>
      </c>
      <c r="F367" t="s">
        <v>93</v>
      </c>
      <c r="G367">
        <v>0.37524999999999997</v>
      </c>
      <c r="H367">
        <v>0</v>
      </c>
      <c r="I367">
        <v>0.11600000000000001</v>
      </c>
      <c r="J367">
        <v>9.2999999999999999E-2</v>
      </c>
      <c r="K367">
        <v>0.75700000000000001</v>
      </c>
      <c r="L367">
        <v>0.67900000000000005</v>
      </c>
      <c r="M367">
        <v>0.33200000000000002</v>
      </c>
      <c r="N367">
        <v>0.28699999999999998</v>
      </c>
      <c r="O367">
        <v>-1.409</v>
      </c>
      <c r="Q367">
        <v>1</v>
      </c>
      <c r="R367">
        <v>5270.9</v>
      </c>
      <c r="S367">
        <v>2.391</v>
      </c>
      <c r="T367">
        <v>18.21</v>
      </c>
      <c r="U367">
        <v>5.0599999999999996</v>
      </c>
      <c r="W367" t="s">
        <v>54</v>
      </c>
      <c r="X367" t="s">
        <v>55</v>
      </c>
      <c r="Y367" t="s">
        <v>56</v>
      </c>
      <c r="Z367">
        <v>0.36799999999999999</v>
      </c>
      <c r="AA367">
        <v>0.504</v>
      </c>
      <c r="AB367">
        <v>80</v>
      </c>
      <c r="AC367">
        <v>4.4000000000000004</v>
      </c>
      <c r="AE367">
        <v>-57.636200000000002</v>
      </c>
      <c r="AF367">
        <v>-25.3005</v>
      </c>
      <c r="AG367" t="s">
        <v>57</v>
      </c>
      <c r="AH367" t="s">
        <v>58</v>
      </c>
      <c r="AI367">
        <v>3972.212</v>
      </c>
      <c r="AJ367">
        <v>4.9363590000000004</v>
      </c>
      <c r="AK367">
        <v>18100000000</v>
      </c>
      <c r="AL367">
        <v>23.10539</v>
      </c>
      <c r="AN367">
        <v>0.81522479999999997</v>
      </c>
      <c r="AO367">
        <v>82.540890000000005</v>
      </c>
      <c r="AP367">
        <v>113.60380000000001</v>
      </c>
      <c r="AQ367">
        <v>1.0345489999999999</v>
      </c>
      <c r="AR367">
        <v>8.6700140000000001</v>
      </c>
      <c r="AS367">
        <v>3.2399309999999999</v>
      </c>
      <c r="AT367">
        <v>2.9019710000000001</v>
      </c>
      <c r="AU367">
        <v>1.9852810000000001</v>
      </c>
      <c r="AV367">
        <v>2.9019710000000001</v>
      </c>
      <c r="AW367">
        <v>23.618929999999999</v>
      </c>
      <c r="AX367">
        <v>3.02</v>
      </c>
      <c r="AY367">
        <v>1.5046847705256501</v>
      </c>
      <c r="AZ367" s="1">
        <v>0.125499993562698</v>
      </c>
      <c r="BA367" s="1">
        <v>0.23849999904632599</v>
      </c>
      <c r="BB367" s="1">
        <v>0.36399999260902399</v>
      </c>
      <c r="BC367" s="1">
        <v>2.4483552</v>
      </c>
      <c r="BD367" s="2">
        <v>113.60376354813</v>
      </c>
      <c r="BE367" s="2">
        <f t="shared" si="10"/>
        <v>24.106205988269011</v>
      </c>
      <c r="BF367" s="2">
        <f t="shared" si="11"/>
        <v>26.93504341964352</v>
      </c>
      <c r="BG367">
        <v>1563473</v>
      </c>
      <c r="BH367" s="3">
        <v>206921</v>
      </c>
      <c r="BI367">
        <v>15.253451397366264</v>
      </c>
      <c r="BJ367" s="3">
        <v>958328</v>
      </c>
      <c r="BK367">
        <v>154753</v>
      </c>
      <c r="BL367">
        <v>19.258065519708801</v>
      </c>
      <c r="BM367" s="3">
        <v>75</v>
      </c>
      <c r="BN367">
        <v>42.5</v>
      </c>
      <c r="BO367">
        <v>36.170212765957444</v>
      </c>
      <c r="BP367">
        <v>4278887737.0260701</v>
      </c>
      <c r="BQ367">
        <v>276769725.72384024</v>
      </c>
      <c r="BR367">
        <v>6.9155813232449761</v>
      </c>
      <c r="BS367">
        <v>0.63680360000000003</v>
      </c>
      <c r="BT367">
        <v>1.4371290000000001</v>
      </c>
      <c r="BU367">
        <v>-0.83558487428459205</v>
      </c>
    </row>
    <row r="368" spans="1:73" x14ac:dyDescent="0.2">
      <c r="A368">
        <v>366</v>
      </c>
      <c r="B368" t="s">
        <v>92</v>
      </c>
      <c r="C368">
        <v>1994</v>
      </c>
      <c r="D368">
        <v>14</v>
      </c>
      <c r="E368">
        <v>0</v>
      </c>
      <c r="F368" t="s">
        <v>93</v>
      </c>
      <c r="G368">
        <v>0.37524999999999997</v>
      </c>
      <c r="H368">
        <v>0</v>
      </c>
      <c r="I368">
        <v>0.11600000000000001</v>
      </c>
      <c r="J368">
        <v>9.2999999999999999E-2</v>
      </c>
      <c r="K368">
        <v>0.75700000000000001</v>
      </c>
      <c r="L368">
        <v>0.67900000000000005</v>
      </c>
      <c r="M368">
        <v>0.33200000000000002</v>
      </c>
      <c r="N368">
        <v>0.28699999999999998</v>
      </c>
      <c r="O368">
        <v>-1.409</v>
      </c>
      <c r="Q368">
        <v>0</v>
      </c>
      <c r="R368">
        <v>5305.5</v>
      </c>
      <c r="S368">
        <v>2.8220000000000001</v>
      </c>
      <c r="T368">
        <v>20.57</v>
      </c>
      <c r="U368">
        <v>4.41</v>
      </c>
      <c r="W368" t="s">
        <v>54</v>
      </c>
      <c r="X368" t="s">
        <v>55</v>
      </c>
      <c r="Y368" t="s">
        <v>56</v>
      </c>
      <c r="Z368">
        <v>0.38500000000000001</v>
      </c>
      <c r="AA368">
        <v>0.52100000000000002</v>
      </c>
      <c r="AB368">
        <v>80</v>
      </c>
      <c r="AC368">
        <v>4.4000000000000004</v>
      </c>
      <c r="AE368">
        <v>-57.636200000000002</v>
      </c>
      <c r="AF368">
        <v>-25.3005</v>
      </c>
      <c r="AG368" t="s">
        <v>57</v>
      </c>
      <c r="AH368" t="s">
        <v>58</v>
      </c>
      <c r="AI368">
        <v>4084.3110000000001</v>
      </c>
      <c r="AJ368">
        <v>5.3179179999999997</v>
      </c>
      <c r="AK368">
        <v>19100000000</v>
      </c>
      <c r="AL368">
        <v>26.879100000000001</v>
      </c>
      <c r="AN368">
        <v>-3.4824120000000001</v>
      </c>
      <c r="AO368">
        <v>81.888050000000007</v>
      </c>
      <c r="AP368">
        <v>123.0793</v>
      </c>
      <c r="AQ368">
        <v>1.741841</v>
      </c>
      <c r="AR368">
        <v>8.8832570000000004</v>
      </c>
      <c r="AS368">
        <v>0.38155840000000002</v>
      </c>
      <c r="AT368">
        <v>3.0238339999999999</v>
      </c>
      <c r="AU368">
        <v>1.9852810000000001</v>
      </c>
      <c r="AV368">
        <v>3.0238339999999999</v>
      </c>
      <c r="AW368">
        <v>23.670739999999999</v>
      </c>
      <c r="AX368">
        <v>2.360001</v>
      </c>
      <c r="AY368">
        <v>1.5046847705256501</v>
      </c>
      <c r="AZ368" s="1">
        <v>0.125499993562698</v>
      </c>
      <c r="BA368" s="1">
        <v>0.23849999904632599</v>
      </c>
      <c r="BB368" s="1">
        <v>0.36399999260902399</v>
      </c>
      <c r="BC368" s="1">
        <v>2.4483552</v>
      </c>
      <c r="BD368" s="2">
        <v>123.07932946648999</v>
      </c>
      <c r="BE368" s="2">
        <f t="shared" si="10"/>
        <v>9.4755659183599903</v>
      </c>
      <c r="BF368" s="2">
        <f t="shared" si="11"/>
        <v>8.3408908494000009</v>
      </c>
      <c r="BG368">
        <v>2166149</v>
      </c>
      <c r="BH368" s="3">
        <v>602676</v>
      </c>
      <c r="BI368">
        <v>38.547259850345995</v>
      </c>
      <c r="BJ368" s="3">
        <v>1272596</v>
      </c>
      <c r="BK368">
        <v>314268</v>
      </c>
      <c r="BL368">
        <v>32.793365110901483</v>
      </c>
      <c r="BM368" s="3">
        <v>137.1</v>
      </c>
      <c r="BN368">
        <v>62.099999999999994</v>
      </c>
      <c r="BO368">
        <v>82.799999999999983</v>
      </c>
      <c r="BP368">
        <v>4630081669.6554298</v>
      </c>
      <c r="BQ368">
        <v>351193932.62935972</v>
      </c>
      <c r="BR368">
        <v>8.2075986614560712</v>
      </c>
      <c r="BS368">
        <v>0.2132425</v>
      </c>
      <c r="BT368">
        <v>3.2265999999999999</v>
      </c>
      <c r="BU368">
        <v>2.39101489433369</v>
      </c>
    </row>
    <row r="369" spans="1:73" x14ac:dyDescent="0.2">
      <c r="A369">
        <v>367</v>
      </c>
      <c r="B369" t="s">
        <v>92</v>
      </c>
      <c r="C369">
        <v>1995</v>
      </c>
      <c r="D369">
        <v>14</v>
      </c>
      <c r="E369">
        <v>0</v>
      </c>
      <c r="F369" t="s">
        <v>93</v>
      </c>
      <c r="G369">
        <v>0.61712</v>
      </c>
      <c r="H369">
        <v>0</v>
      </c>
      <c r="I369">
        <v>0.11600000000000001</v>
      </c>
      <c r="J369">
        <v>9.2999999999999999E-2</v>
      </c>
      <c r="K369">
        <v>0.75700000000000001</v>
      </c>
      <c r="L369">
        <v>0.67900000000000005</v>
      </c>
      <c r="M369">
        <v>0.33200000000000002</v>
      </c>
      <c r="N369">
        <v>0.28699999999999998</v>
      </c>
      <c r="O369">
        <v>-1.409</v>
      </c>
      <c r="P369">
        <v>2.5489999999999999</v>
      </c>
      <c r="Q369">
        <v>0</v>
      </c>
      <c r="R369">
        <v>5463.6</v>
      </c>
      <c r="S369">
        <v>4.3460000000000001</v>
      </c>
      <c r="T369">
        <v>13.43</v>
      </c>
      <c r="U369">
        <v>3.4</v>
      </c>
      <c r="V369">
        <v>58.2</v>
      </c>
      <c r="W369" t="s">
        <v>54</v>
      </c>
      <c r="X369" t="s">
        <v>55</v>
      </c>
      <c r="Y369" t="s">
        <v>56</v>
      </c>
      <c r="Z369">
        <v>0.38500000000000001</v>
      </c>
      <c r="AA369">
        <v>0.52100000000000002</v>
      </c>
      <c r="AB369">
        <v>80</v>
      </c>
      <c r="AC369">
        <v>4.4000000000000004</v>
      </c>
      <c r="AE369">
        <v>-57.636200000000002</v>
      </c>
      <c r="AF369">
        <v>-25.3005</v>
      </c>
      <c r="AG369" t="s">
        <v>57</v>
      </c>
      <c r="AH369" t="s">
        <v>58</v>
      </c>
      <c r="AI369">
        <v>4261.8289999999997</v>
      </c>
      <c r="AJ369">
        <v>6.8228099999999996</v>
      </c>
      <c r="AK369">
        <v>20400000000</v>
      </c>
      <c r="AL369">
        <v>23.964449999999999</v>
      </c>
      <c r="AN369">
        <v>-2.398914</v>
      </c>
      <c r="AO369">
        <v>81.021810000000002</v>
      </c>
      <c r="AP369">
        <v>118.0641</v>
      </c>
      <c r="AQ369">
        <v>1.0428010000000001</v>
      </c>
      <c r="AR369">
        <v>8.8713569999999997</v>
      </c>
      <c r="AS369">
        <v>1.5048919999999999</v>
      </c>
      <c r="AT369">
        <v>2.5974910000000002</v>
      </c>
      <c r="AU369">
        <v>1.9852810000000001</v>
      </c>
      <c r="AV369">
        <v>2.5974910000000002</v>
      </c>
      <c r="AW369">
        <v>23.736740000000001</v>
      </c>
      <c r="AX369">
        <v>7.1399990000000004</v>
      </c>
      <c r="AY369">
        <v>1.5046847705256501</v>
      </c>
      <c r="AZ369" s="1">
        <v>0.125499993562698</v>
      </c>
      <c r="BA369" s="1">
        <v>0.23849999904632599</v>
      </c>
      <c r="BB369" s="1">
        <v>0.36399999260902399</v>
      </c>
      <c r="BC369" s="1">
        <v>2.4483552</v>
      </c>
      <c r="BD369" s="2">
        <v>118.064074196292</v>
      </c>
      <c r="BE369" s="2">
        <f t="shared" si="10"/>
        <v>5.0152552701979971</v>
      </c>
      <c r="BF369" s="2">
        <f t="shared" si="11"/>
        <v>4.0748152365937838</v>
      </c>
      <c r="BG369">
        <v>2827345</v>
      </c>
      <c r="BH369" s="3">
        <v>661196</v>
      </c>
      <c r="BI369">
        <v>30.524031357030381</v>
      </c>
      <c r="BJ369" s="3">
        <v>1539364</v>
      </c>
      <c r="BK369">
        <v>266768</v>
      </c>
      <c r="BL369">
        <v>20.962504989800376</v>
      </c>
      <c r="BM369" s="3">
        <v>94.5</v>
      </c>
      <c r="BN369">
        <v>42.599999999999994</v>
      </c>
      <c r="BO369">
        <v>31.07221006564551</v>
      </c>
      <c r="BP369">
        <v>4851554061.5076904</v>
      </c>
      <c r="BQ369">
        <v>221472391.85226059</v>
      </c>
      <c r="BR369">
        <v>4.7833366159336563</v>
      </c>
      <c r="BS369">
        <v>1.18999E-2</v>
      </c>
      <c r="BT369">
        <v>0.43105959999999999</v>
      </c>
      <c r="BU369">
        <v>2.8220743044589098</v>
      </c>
    </row>
    <row r="370" spans="1:73" x14ac:dyDescent="0.2">
      <c r="A370">
        <v>368</v>
      </c>
      <c r="B370" t="s">
        <v>92</v>
      </c>
      <c r="C370">
        <v>1996</v>
      </c>
      <c r="D370">
        <v>14</v>
      </c>
      <c r="E370">
        <v>0</v>
      </c>
      <c r="F370" t="s">
        <v>93</v>
      </c>
      <c r="G370">
        <v>0.61712</v>
      </c>
      <c r="H370">
        <v>0</v>
      </c>
      <c r="I370">
        <v>0.11600000000000001</v>
      </c>
      <c r="J370">
        <v>9.2999999999999999E-2</v>
      </c>
      <c r="K370">
        <v>0.75700000000000001</v>
      </c>
      <c r="L370">
        <v>0.67900000000000005</v>
      </c>
      <c r="M370">
        <v>0.33200000000000002</v>
      </c>
      <c r="N370">
        <v>0.28699999999999998</v>
      </c>
      <c r="O370">
        <v>-1.409</v>
      </c>
      <c r="P370">
        <v>3.895</v>
      </c>
      <c r="Q370">
        <v>0</v>
      </c>
      <c r="R370">
        <v>5360.7</v>
      </c>
      <c r="S370">
        <v>-0.72899999999999998</v>
      </c>
      <c r="T370">
        <v>9.8000000000000007</v>
      </c>
      <c r="U370">
        <v>8.15</v>
      </c>
      <c r="W370" t="s">
        <v>54</v>
      </c>
      <c r="X370" t="s">
        <v>55</v>
      </c>
      <c r="Y370" t="s">
        <v>56</v>
      </c>
      <c r="Z370">
        <v>0.39100000000000001</v>
      </c>
      <c r="AA370">
        <v>0.53100000000000003</v>
      </c>
      <c r="AB370">
        <v>80</v>
      </c>
      <c r="AC370">
        <v>4.4000000000000004</v>
      </c>
      <c r="AE370">
        <v>-57.636200000000002</v>
      </c>
      <c r="AF370">
        <v>-25.3005</v>
      </c>
      <c r="AG370" t="s">
        <v>57</v>
      </c>
      <c r="AH370" t="s">
        <v>58</v>
      </c>
      <c r="AI370">
        <v>4230.7669999999998</v>
      </c>
      <c r="AJ370">
        <v>1.573785</v>
      </c>
      <c r="AK370">
        <v>20700000000</v>
      </c>
      <c r="AL370">
        <v>25.78566</v>
      </c>
      <c r="AN370">
        <v>-0.70705300000000004</v>
      </c>
      <c r="AO370">
        <v>80.077060000000003</v>
      </c>
      <c r="AP370">
        <v>103.03530000000001</v>
      </c>
      <c r="AQ370">
        <v>1.4282220000000001</v>
      </c>
      <c r="AR370">
        <v>9.6262190000000007</v>
      </c>
      <c r="AS370">
        <v>5.2490249999999996</v>
      </c>
      <c r="AT370">
        <v>2.2823820000000001</v>
      </c>
      <c r="AU370">
        <v>1.9852810000000001</v>
      </c>
      <c r="AV370">
        <v>2.2823820000000001</v>
      </c>
      <c r="AW370">
        <v>23.752359999999999</v>
      </c>
      <c r="AX370">
        <v>3.63</v>
      </c>
      <c r="AY370">
        <v>1.5046847705256501</v>
      </c>
      <c r="AZ370" s="1">
        <v>0.125499993562698</v>
      </c>
      <c r="BA370" s="1">
        <v>0.23849999904632599</v>
      </c>
      <c r="BB370" s="1">
        <v>0.36399999260902399</v>
      </c>
      <c r="BC370" s="1">
        <v>2.4483552</v>
      </c>
      <c r="BD370" s="2">
        <v>103.03526720562699</v>
      </c>
      <c r="BE370" s="2">
        <f t="shared" si="10"/>
        <v>15.028806990665004</v>
      </c>
      <c r="BF370" s="2">
        <f t="shared" si="11"/>
        <v>12.729365044338786</v>
      </c>
      <c r="BG370">
        <v>3204722</v>
      </c>
      <c r="BH370" s="3">
        <v>377377</v>
      </c>
      <c r="BI370">
        <v>13.347398354286442</v>
      </c>
      <c r="BJ370" s="3">
        <v>1570673</v>
      </c>
      <c r="BK370">
        <v>31309</v>
      </c>
      <c r="BL370">
        <v>2.0338919190003146</v>
      </c>
      <c r="BM370" s="3">
        <v>139.5</v>
      </c>
      <c r="BN370">
        <v>45</v>
      </c>
      <c r="BO370">
        <v>47.61904761904762</v>
      </c>
      <c r="BP370">
        <v>4581463775.1203203</v>
      </c>
      <c r="BQ370">
        <v>270090286.38737011</v>
      </c>
      <c r="BR370">
        <v>5.5670880497915274</v>
      </c>
      <c r="BS370">
        <v>0.75486180000000003</v>
      </c>
      <c r="BT370">
        <v>1.5242500000000001</v>
      </c>
      <c r="BU370">
        <v>4.3463244653305004</v>
      </c>
    </row>
    <row r="371" spans="1:73" x14ac:dyDescent="0.2">
      <c r="A371">
        <v>369</v>
      </c>
      <c r="B371" t="s">
        <v>92</v>
      </c>
      <c r="C371">
        <v>1997</v>
      </c>
      <c r="D371">
        <v>14</v>
      </c>
      <c r="E371">
        <v>0</v>
      </c>
      <c r="F371" t="s">
        <v>93</v>
      </c>
      <c r="G371">
        <v>0.61712</v>
      </c>
      <c r="H371">
        <v>0</v>
      </c>
      <c r="I371">
        <v>0.11600000000000001</v>
      </c>
      <c r="J371">
        <v>9.2999999999999999E-2</v>
      </c>
      <c r="K371">
        <v>0.75700000000000001</v>
      </c>
      <c r="L371">
        <v>0.67900000000000005</v>
      </c>
      <c r="M371">
        <v>0.33200000000000002</v>
      </c>
      <c r="N371">
        <v>0.28699999999999998</v>
      </c>
      <c r="O371">
        <v>-1.409</v>
      </c>
      <c r="P371">
        <v>4.2869999999999999</v>
      </c>
      <c r="Q371">
        <v>0</v>
      </c>
      <c r="R371">
        <v>5399.4</v>
      </c>
      <c r="S371">
        <v>1.9390000000000001</v>
      </c>
      <c r="T371">
        <v>6.95</v>
      </c>
      <c r="U371">
        <v>5.36</v>
      </c>
      <c r="V371">
        <v>54.9</v>
      </c>
      <c r="W371" t="s">
        <v>54</v>
      </c>
      <c r="X371" t="s">
        <v>55</v>
      </c>
      <c r="Y371" t="s">
        <v>56</v>
      </c>
      <c r="Z371">
        <v>0.38700000000000001</v>
      </c>
      <c r="AA371">
        <v>0.52900000000000003</v>
      </c>
      <c r="AB371">
        <v>80</v>
      </c>
      <c r="AC371">
        <v>4.4000000000000004</v>
      </c>
      <c r="AE371">
        <v>-57.636200000000002</v>
      </c>
      <c r="AF371">
        <v>-25.3005</v>
      </c>
      <c r="AG371" t="s">
        <v>57</v>
      </c>
      <c r="AH371" t="s">
        <v>58</v>
      </c>
      <c r="AI371">
        <v>4312.7910000000002</v>
      </c>
      <c r="AJ371">
        <v>4.2425160000000002</v>
      </c>
      <c r="AK371">
        <v>21600000000</v>
      </c>
      <c r="AL371">
        <v>32.774099999999997</v>
      </c>
      <c r="AN371">
        <v>-5.5059760000000004</v>
      </c>
      <c r="AO371">
        <v>78.990409999999997</v>
      </c>
      <c r="AP371">
        <v>95.934269999999998</v>
      </c>
      <c r="AQ371">
        <v>2.3170570000000001</v>
      </c>
      <c r="AR371">
        <v>10.183960000000001</v>
      </c>
      <c r="AS371">
        <v>2.6687310000000002</v>
      </c>
      <c r="AT371">
        <v>1.938742</v>
      </c>
      <c r="AU371">
        <v>1.9852810000000001</v>
      </c>
      <c r="AV371">
        <v>1.938742</v>
      </c>
      <c r="AW371">
        <v>23.79391</v>
      </c>
      <c r="AX371">
        <v>2.85</v>
      </c>
      <c r="AY371">
        <v>1.5046847705256501</v>
      </c>
      <c r="AZ371" s="1">
        <v>0.125499993562698</v>
      </c>
      <c r="BA371" s="1">
        <v>0.23849999904632599</v>
      </c>
      <c r="BB371" s="1">
        <v>0.36399999260902399</v>
      </c>
      <c r="BC371" s="1">
        <v>2.4483552</v>
      </c>
      <c r="BD371" s="2">
        <v>95.934276247919996</v>
      </c>
      <c r="BE371" s="2">
        <f t="shared" si="10"/>
        <v>7.1009909577069976</v>
      </c>
      <c r="BF371" s="2">
        <f t="shared" si="11"/>
        <v>6.8918062235288655</v>
      </c>
      <c r="BG371">
        <v>3437432</v>
      </c>
      <c r="BH371" s="3">
        <v>232710</v>
      </c>
      <c r="BI371">
        <v>7.2614722899521391</v>
      </c>
      <c r="BJ371" s="3">
        <v>1789142</v>
      </c>
      <c r="BK371">
        <v>218469</v>
      </c>
      <c r="BL371">
        <v>13.909260552642085</v>
      </c>
      <c r="BM371" s="3">
        <v>225.7</v>
      </c>
      <c r="BN371">
        <v>86.199999999999989</v>
      </c>
      <c r="BO371">
        <v>61.792114695340487</v>
      </c>
      <c r="BP371">
        <v>4716136327.7405701</v>
      </c>
      <c r="BQ371">
        <v>134672552.62024975</v>
      </c>
      <c r="BR371">
        <v>2.9395092754326737</v>
      </c>
      <c r="BS371">
        <v>0.55773830000000002</v>
      </c>
      <c r="BT371">
        <v>5.0751600000000003</v>
      </c>
      <c r="BU371">
        <v>-0.72883535540508104</v>
      </c>
    </row>
    <row r="372" spans="1:73" x14ac:dyDescent="0.2">
      <c r="A372">
        <v>370</v>
      </c>
      <c r="B372" t="s">
        <v>92</v>
      </c>
      <c r="C372">
        <v>1998</v>
      </c>
      <c r="D372">
        <v>14</v>
      </c>
      <c r="E372">
        <v>1</v>
      </c>
      <c r="F372" t="s">
        <v>93</v>
      </c>
      <c r="G372">
        <v>0.61712</v>
      </c>
      <c r="H372">
        <v>0</v>
      </c>
      <c r="I372">
        <v>0.122</v>
      </c>
      <c r="J372">
        <v>0.13400000000000001</v>
      </c>
      <c r="K372">
        <v>0.77600000000000002</v>
      </c>
      <c r="L372">
        <v>0.81399999999999995</v>
      </c>
      <c r="M372">
        <v>0.33100000000000002</v>
      </c>
      <c r="N372">
        <v>0.36299999999999999</v>
      </c>
      <c r="O372">
        <v>-1.409</v>
      </c>
      <c r="P372">
        <v>5.0250000000000004</v>
      </c>
      <c r="Q372">
        <v>1</v>
      </c>
      <c r="R372">
        <v>5321.9</v>
      </c>
      <c r="S372">
        <v>-2.0819999999999999</v>
      </c>
      <c r="T372">
        <v>11.55</v>
      </c>
      <c r="U372">
        <v>4.42</v>
      </c>
      <c r="W372" t="s">
        <v>54</v>
      </c>
      <c r="X372" t="s">
        <v>55</v>
      </c>
      <c r="Y372" t="s">
        <v>56</v>
      </c>
      <c r="Z372">
        <v>0.39300000000000002</v>
      </c>
      <c r="AA372">
        <v>0.53700000000000003</v>
      </c>
      <c r="AB372">
        <v>80</v>
      </c>
      <c r="AC372">
        <v>4.4000000000000004</v>
      </c>
      <c r="AE372">
        <v>-57.636200000000002</v>
      </c>
      <c r="AF372">
        <v>-25.3005</v>
      </c>
      <c r="AG372" t="s">
        <v>57</v>
      </c>
      <c r="AH372" t="s">
        <v>58</v>
      </c>
      <c r="AI372">
        <v>4223</v>
      </c>
      <c r="AJ372">
        <v>6.8037799999999996E-2</v>
      </c>
      <c r="AK372">
        <v>21600000000</v>
      </c>
      <c r="AL372">
        <v>24.521930000000001</v>
      </c>
      <c r="AN372">
        <v>1.4246840000000001</v>
      </c>
      <c r="AO372">
        <v>77.766019999999997</v>
      </c>
      <c r="AP372">
        <v>101.6063</v>
      </c>
      <c r="AQ372">
        <v>3.677994</v>
      </c>
      <c r="AR372">
        <v>10.290839999999999</v>
      </c>
      <c r="AS372">
        <v>4.1744779999999997</v>
      </c>
      <c r="AT372">
        <v>2.4466860000000001</v>
      </c>
      <c r="AU372">
        <v>1.9852810000000001</v>
      </c>
      <c r="AV372">
        <v>2.4466860000000001</v>
      </c>
      <c r="AW372">
        <v>23.794589999999999</v>
      </c>
      <c r="AX372">
        <v>4.5999999999999996</v>
      </c>
      <c r="AY372">
        <v>1.5046847705256501</v>
      </c>
      <c r="AZ372" s="1">
        <v>0.51050001382827803</v>
      </c>
      <c r="BA372" s="1">
        <v>5.4999999701976797E-2</v>
      </c>
      <c r="BB372" s="1">
        <v>0.56550002098083496</v>
      </c>
      <c r="BC372" s="1">
        <v>2.2711139999999999</v>
      </c>
      <c r="BD372" s="2">
        <v>101.606320138417</v>
      </c>
      <c r="BE372" s="2">
        <f t="shared" si="10"/>
        <v>5.6720438904970081</v>
      </c>
      <c r="BF372" s="2">
        <f t="shared" si="11"/>
        <v>5.9124268325524438</v>
      </c>
      <c r="BG372">
        <v>3341824</v>
      </c>
      <c r="BH372" s="3">
        <v>95608</v>
      </c>
      <c r="BI372">
        <v>2.7813786570905257</v>
      </c>
      <c r="BJ372" s="3">
        <v>1922271</v>
      </c>
      <c r="BK372">
        <v>133129</v>
      </c>
      <c r="BL372">
        <v>7.4409409649988651</v>
      </c>
      <c r="BM372" s="3">
        <v>333.2</v>
      </c>
      <c r="BN372">
        <v>107.5</v>
      </c>
      <c r="BO372">
        <v>47.629596809924678</v>
      </c>
      <c r="BP372">
        <v>4220823474.1188898</v>
      </c>
      <c r="BQ372">
        <v>495312853.62168026</v>
      </c>
      <c r="BR372">
        <v>10.502513481389908</v>
      </c>
      <c r="BS372">
        <v>0.10688400000000001</v>
      </c>
      <c r="BT372">
        <v>2.6675900000000001</v>
      </c>
      <c r="BU372">
        <v>1.9387548616836501</v>
      </c>
    </row>
    <row r="373" spans="1:73" x14ac:dyDescent="0.2">
      <c r="A373">
        <v>371</v>
      </c>
      <c r="B373" t="s">
        <v>92</v>
      </c>
      <c r="C373">
        <v>1999</v>
      </c>
      <c r="D373">
        <v>14</v>
      </c>
      <c r="E373">
        <v>0</v>
      </c>
      <c r="F373" t="s">
        <v>93</v>
      </c>
      <c r="G373">
        <v>0.61712</v>
      </c>
      <c r="H373">
        <v>0</v>
      </c>
      <c r="I373">
        <v>0.122</v>
      </c>
      <c r="J373">
        <v>0.13400000000000001</v>
      </c>
      <c r="K373">
        <v>0.77600000000000002</v>
      </c>
      <c r="L373">
        <v>0.81399999999999995</v>
      </c>
      <c r="M373">
        <v>0.33100000000000002</v>
      </c>
      <c r="N373">
        <v>0.36299999999999999</v>
      </c>
      <c r="O373">
        <v>-1.31</v>
      </c>
      <c r="P373">
        <v>5.0250000000000004</v>
      </c>
      <c r="Q373">
        <v>0</v>
      </c>
      <c r="R373">
        <v>5150.3999999999996</v>
      </c>
      <c r="S373">
        <v>-3.4180000000000001</v>
      </c>
      <c r="T373">
        <v>6.75</v>
      </c>
      <c r="U373">
        <v>5.34</v>
      </c>
      <c r="V373">
        <v>54.6</v>
      </c>
      <c r="W373" t="s">
        <v>54</v>
      </c>
      <c r="X373" t="s">
        <v>55</v>
      </c>
      <c r="Y373" t="s">
        <v>56</v>
      </c>
      <c r="Z373">
        <v>0.39400000000000002</v>
      </c>
      <c r="AA373">
        <v>0.54200000000000004</v>
      </c>
      <c r="AB373">
        <v>80</v>
      </c>
      <c r="AC373">
        <v>4.4000000000000004</v>
      </c>
      <c r="AE373">
        <v>-57.636200000000002</v>
      </c>
      <c r="AF373">
        <v>-25.3005</v>
      </c>
      <c r="AG373" t="s">
        <v>57</v>
      </c>
      <c r="AH373" t="s">
        <v>58</v>
      </c>
      <c r="AI373">
        <v>4078.6669999999999</v>
      </c>
      <c r="AJ373">
        <v>-1.36608</v>
      </c>
      <c r="AK373">
        <v>21300000000</v>
      </c>
      <c r="AL373">
        <v>25.055160000000001</v>
      </c>
      <c r="AN373">
        <v>1.5697190000000001</v>
      </c>
      <c r="AO373">
        <v>76.40652</v>
      </c>
      <c r="AP373">
        <v>77.555269999999993</v>
      </c>
      <c r="AQ373">
        <v>0.98675239999999997</v>
      </c>
      <c r="AR373">
        <v>9.8906530000000004</v>
      </c>
      <c r="AS373">
        <v>1.4341170000000001</v>
      </c>
      <c r="AT373">
        <v>1.909543</v>
      </c>
      <c r="AU373">
        <v>1.7161</v>
      </c>
      <c r="AV373">
        <v>1.909543</v>
      </c>
      <c r="AW373">
        <v>23.780830000000002</v>
      </c>
      <c r="AX373">
        <v>4.8</v>
      </c>
      <c r="AY373">
        <v>1.5832936318882</v>
      </c>
      <c r="AZ373" s="1">
        <v>0.51050001382827803</v>
      </c>
      <c r="BA373" s="1">
        <v>5.4999999701976797E-2</v>
      </c>
      <c r="BB373" s="1">
        <v>0.56550002098083496</v>
      </c>
      <c r="BC373" s="1">
        <v>2.2711139999999999</v>
      </c>
      <c r="BD373" s="2">
        <v>77.555275690803001</v>
      </c>
      <c r="BE373" s="2">
        <f t="shared" si="10"/>
        <v>24.051044447614004</v>
      </c>
      <c r="BF373" s="2">
        <f t="shared" si="11"/>
        <v>23.670815373344464</v>
      </c>
      <c r="BG373">
        <v>3706105</v>
      </c>
      <c r="BH373" s="3">
        <v>364281</v>
      </c>
      <c r="BI373">
        <v>10.90066382909453</v>
      </c>
      <c r="BJ373" s="3">
        <v>2103845</v>
      </c>
      <c r="BK373">
        <v>181574</v>
      </c>
      <c r="BL373">
        <v>9.44580654860839</v>
      </c>
      <c r="BM373" s="3">
        <v>86.7</v>
      </c>
      <c r="BN373">
        <v>246.5</v>
      </c>
      <c r="BO373">
        <v>73.979591836734699</v>
      </c>
      <c r="BP373">
        <v>3756959475.6806502</v>
      </c>
      <c r="BQ373">
        <v>463863998.43823957</v>
      </c>
      <c r="BR373">
        <v>10.989893353336049</v>
      </c>
      <c r="BS373">
        <v>0.4001884</v>
      </c>
      <c r="BT373">
        <v>4.0207189999999997</v>
      </c>
      <c r="BU373">
        <v>-2.0819643459557802</v>
      </c>
    </row>
    <row r="374" spans="1:73" x14ac:dyDescent="0.2">
      <c r="A374">
        <v>372</v>
      </c>
      <c r="B374" t="s">
        <v>92</v>
      </c>
      <c r="C374">
        <v>2000</v>
      </c>
      <c r="D374">
        <v>14</v>
      </c>
      <c r="E374">
        <v>0</v>
      </c>
      <c r="F374" t="s">
        <v>93</v>
      </c>
      <c r="G374">
        <v>0.61712</v>
      </c>
      <c r="H374">
        <v>0</v>
      </c>
      <c r="I374">
        <v>0.122</v>
      </c>
      <c r="J374">
        <v>0.13400000000000001</v>
      </c>
      <c r="K374">
        <v>0.77600000000000002</v>
      </c>
      <c r="L374">
        <v>0.81399999999999995</v>
      </c>
      <c r="M374">
        <v>0.33100000000000002</v>
      </c>
      <c r="N374">
        <v>0.36299999999999999</v>
      </c>
      <c r="O374">
        <v>-1.4350000000000001</v>
      </c>
      <c r="P374">
        <v>4.1669999999999998</v>
      </c>
      <c r="Q374">
        <v>0</v>
      </c>
      <c r="R374">
        <v>4896.3999999999996</v>
      </c>
      <c r="S374">
        <v>-4.2750000000000004</v>
      </c>
      <c r="T374">
        <v>8.98</v>
      </c>
      <c r="U374">
        <v>7.61</v>
      </c>
      <c r="W374" t="s">
        <v>54</v>
      </c>
      <c r="X374" t="s">
        <v>55</v>
      </c>
      <c r="Y374" t="s">
        <v>56</v>
      </c>
      <c r="Z374">
        <v>0.40200000000000002</v>
      </c>
      <c r="AA374">
        <v>0.54500000000000004</v>
      </c>
      <c r="AB374">
        <v>80</v>
      </c>
      <c r="AC374">
        <v>4.4000000000000004</v>
      </c>
      <c r="AE374">
        <v>-57.636200000000002</v>
      </c>
      <c r="AF374">
        <v>-25.3005</v>
      </c>
      <c r="AG374" t="s">
        <v>57</v>
      </c>
      <c r="AH374" t="s">
        <v>58</v>
      </c>
      <c r="AI374">
        <v>3904.3020000000001</v>
      </c>
      <c r="AJ374">
        <v>-2.3141409999999998</v>
      </c>
      <c r="AK374">
        <v>20800000000</v>
      </c>
      <c r="AL374">
        <v>23.760400000000001</v>
      </c>
      <c r="AN374">
        <v>-2.7904949999999999</v>
      </c>
      <c r="AO374">
        <v>74.924250000000001</v>
      </c>
      <c r="AP374">
        <v>78.644729999999996</v>
      </c>
      <c r="AQ374">
        <v>1.2172940000000001</v>
      </c>
      <c r="AR374">
        <v>10.40507</v>
      </c>
      <c r="AS374">
        <v>0.94806089999999998</v>
      </c>
      <c r="AT374">
        <v>2.1949999999999998</v>
      </c>
      <c r="AU374">
        <v>2.0592250000000001</v>
      </c>
      <c r="AV374">
        <v>2.1949999999999998</v>
      </c>
      <c r="AW374">
        <v>23.75742</v>
      </c>
      <c r="AX374">
        <v>2.23</v>
      </c>
      <c r="AY374">
        <v>1.48404001905669</v>
      </c>
      <c r="AZ374" s="1">
        <v>0.51050001382827803</v>
      </c>
      <c r="BA374" s="1">
        <v>5.4999999701976797E-2</v>
      </c>
      <c r="BB374" s="1">
        <v>0.56550002098083496</v>
      </c>
      <c r="BC374" s="1">
        <v>2.2711139999999999</v>
      </c>
      <c r="BD374" s="2">
        <v>78.644729760968005</v>
      </c>
      <c r="BE374" s="2">
        <f t="shared" si="10"/>
        <v>1.0894540701650044</v>
      </c>
      <c r="BF374" s="2">
        <f t="shared" si="11"/>
        <v>1.4047452742073081</v>
      </c>
      <c r="BG374">
        <v>3824415</v>
      </c>
      <c r="BH374" s="3">
        <v>118310</v>
      </c>
      <c r="BI374">
        <v>3.192300272118572</v>
      </c>
      <c r="BJ374" s="3">
        <v>2478222</v>
      </c>
      <c r="BK374">
        <v>374377</v>
      </c>
      <c r="BL374">
        <v>17.794894585865404</v>
      </c>
      <c r="BM374" s="3">
        <v>137.93819999999999</v>
      </c>
      <c r="BN374">
        <v>51.238199999999992</v>
      </c>
      <c r="BO374">
        <v>59.098269896193756</v>
      </c>
      <c r="BP374">
        <v>3681447983.7378101</v>
      </c>
      <c r="BQ374">
        <v>75511491.942840099</v>
      </c>
      <c r="BR374">
        <v>2.0099096738103528</v>
      </c>
      <c r="BS374">
        <v>0.51441959999999998</v>
      </c>
      <c r="BT374">
        <v>1.3358140000000001</v>
      </c>
      <c r="BU374">
        <v>-3.41777876662883</v>
      </c>
    </row>
    <row r="375" spans="1:73" x14ac:dyDescent="0.2">
      <c r="A375">
        <v>373</v>
      </c>
      <c r="B375" t="s">
        <v>92</v>
      </c>
      <c r="C375">
        <v>2001</v>
      </c>
      <c r="D375">
        <v>14</v>
      </c>
      <c r="E375">
        <v>0</v>
      </c>
      <c r="F375" t="s">
        <v>93</v>
      </c>
      <c r="G375">
        <v>0.61712</v>
      </c>
      <c r="H375">
        <v>0</v>
      </c>
      <c r="I375">
        <v>0.122</v>
      </c>
      <c r="J375">
        <v>0.13400000000000001</v>
      </c>
      <c r="K375">
        <v>0.77600000000000002</v>
      </c>
      <c r="L375">
        <v>0.81399999999999995</v>
      </c>
      <c r="M375">
        <v>0.33100000000000002</v>
      </c>
      <c r="N375">
        <v>0.36299999999999999</v>
      </c>
      <c r="O375">
        <v>-1.4350000000000001</v>
      </c>
      <c r="P375">
        <v>5.2729999999999997</v>
      </c>
      <c r="Q375">
        <v>0</v>
      </c>
      <c r="R375">
        <v>4918.1000000000004</v>
      </c>
      <c r="S375">
        <v>-2.7570000000000001</v>
      </c>
      <c r="T375">
        <v>7.27</v>
      </c>
      <c r="U375">
        <v>6.21</v>
      </c>
      <c r="V375">
        <v>54.6</v>
      </c>
      <c r="W375" t="s">
        <v>54</v>
      </c>
      <c r="X375" t="s">
        <v>55</v>
      </c>
      <c r="Y375" t="s">
        <v>56</v>
      </c>
      <c r="Z375">
        <v>0.40200000000000002</v>
      </c>
      <c r="AA375">
        <v>0.54500000000000004</v>
      </c>
      <c r="AB375">
        <v>80</v>
      </c>
      <c r="AC375">
        <v>4.4000000000000004</v>
      </c>
      <c r="AE375">
        <v>-57.636200000000002</v>
      </c>
      <c r="AF375">
        <v>-25.3005</v>
      </c>
      <c r="AG375" t="s">
        <v>57</v>
      </c>
      <c r="AH375" t="s">
        <v>58</v>
      </c>
      <c r="AI375">
        <v>3796.6779999999999</v>
      </c>
      <c r="AJ375">
        <v>-0.83405470000000004</v>
      </c>
      <c r="AK375">
        <v>20600000000</v>
      </c>
      <c r="AL375">
        <v>24.168669999999999</v>
      </c>
      <c r="AN375">
        <v>-0.3757297</v>
      </c>
      <c r="AO375">
        <v>73.576059999999998</v>
      </c>
      <c r="AP375">
        <v>72.605699999999999</v>
      </c>
      <c r="AQ375">
        <v>1.167635</v>
      </c>
      <c r="AR375">
        <v>9.4811440000000005</v>
      </c>
      <c r="AS375">
        <v>1.480086</v>
      </c>
      <c r="AT375">
        <v>1.9837560000000001</v>
      </c>
      <c r="AU375">
        <v>2.0592250000000001</v>
      </c>
      <c r="AV375">
        <v>1.9837560000000001</v>
      </c>
      <c r="AW375">
        <v>23.749040000000001</v>
      </c>
      <c r="AX375">
        <v>1.71</v>
      </c>
      <c r="AY375">
        <v>1.48404001905669</v>
      </c>
      <c r="AZ375" s="1">
        <v>0.51050001382827803</v>
      </c>
      <c r="BA375" s="1">
        <v>5.4999999701976797E-2</v>
      </c>
      <c r="BB375" s="1">
        <v>0.56550002098083496</v>
      </c>
      <c r="BC375" s="1">
        <v>2.2711139999999999</v>
      </c>
      <c r="BD375" s="2">
        <v>72.605699011615002</v>
      </c>
      <c r="BE375" s="2">
        <f t="shared" si="10"/>
        <v>6.0390307493530031</v>
      </c>
      <c r="BF375" s="2">
        <f t="shared" si="11"/>
        <v>7.6788753266849188</v>
      </c>
      <c r="BG375">
        <v>4068435</v>
      </c>
      <c r="BH375" s="3">
        <v>244020</v>
      </c>
      <c r="BI375">
        <v>6.3805836971144609</v>
      </c>
      <c r="BJ375" s="3">
        <v>2700359</v>
      </c>
      <c r="BK375">
        <v>222137</v>
      </c>
      <c r="BL375">
        <v>8.9635633934328727</v>
      </c>
      <c r="BM375" s="3">
        <v>63.01</v>
      </c>
      <c r="BN375">
        <v>74.928200000000004</v>
      </c>
      <c r="BO375">
        <v>54.320123069606538</v>
      </c>
      <c r="BP375">
        <v>3453285478.01157</v>
      </c>
      <c r="BQ375">
        <v>228162505.72624016</v>
      </c>
      <c r="BR375">
        <v>6.1976294853033487</v>
      </c>
      <c r="BS375">
        <v>0.92392830000000004</v>
      </c>
      <c r="BT375">
        <v>0.85727189999999998</v>
      </c>
      <c r="BU375">
        <v>-4.2750505985529097</v>
      </c>
    </row>
    <row r="376" spans="1:73" x14ac:dyDescent="0.2">
      <c r="A376">
        <v>374</v>
      </c>
      <c r="B376" t="s">
        <v>92</v>
      </c>
      <c r="C376">
        <v>2002</v>
      </c>
      <c r="D376">
        <v>14</v>
      </c>
      <c r="E376">
        <v>0</v>
      </c>
      <c r="F376" t="s">
        <v>93</v>
      </c>
      <c r="G376">
        <v>0.61712</v>
      </c>
      <c r="H376">
        <v>0</v>
      </c>
      <c r="I376">
        <v>0.122</v>
      </c>
      <c r="J376">
        <v>0.13400000000000001</v>
      </c>
      <c r="K376">
        <v>0.77600000000000002</v>
      </c>
      <c r="L376">
        <v>0.81399999999999995</v>
      </c>
      <c r="M376">
        <v>0.33100000000000002</v>
      </c>
      <c r="N376">
        <v>0.36299999999999999</v>
      </c>
      <c r="O376">
        <v>-1.4350000000000001</v>
      </c>
      <c r="P376">
        <v>5.1779999999999999</v>
      </c>
      <c r="Q376">
        <v>0</v>
      </c>
      <c r="R376">
        <v>5571.4</v>
      </c>
      <c r="S376">
        <v>-1.8919999999999999</v>
      </c>
      <c r="T376">
        <v>10.51</v>
      </c>
      <c r="U376">
        <v>9.39</v>
      </c>
      <c r="V376">
        <v>57.3</v>
      </c>
      <c r="W376" t="s">
        <v>54</v>
      </c>
      <c r="X376" t="s">
        <v>55</v>
      </c>
      <c r="Y376" t="s">
        <v>56</v>
      </c>
      <c r="Z376">
        <v>0.40200000000000002</v>
      </c>
      <c r="AA376">
        <v>0.54500000000000004</v>
      </c>
      <c r="AB376">
        <v>80</v>
      </c>
      <c r="AC376">
        <v>4.4000000000000004</v>
      </c>
      <c r="AE376">
        <v>-57.636200000000002</v>
      </c>
      <c r="AF376">
        <v>-25.3005</v>
      </c>
      <c r="AG376" t="s">
        <v>57</v>
      </c>
      <c r="AH376" t="s">
        <v>58</v>
      </c>
      <c r="AI376">
        <v>3724.835</v>
      </c>
      <c r="AJ376">
        <v>-2.1404400000000001E-2</v>
      </c>
      <c r="AK376">
        <v>20600000000</v>
      </c>
      <c r="AL376">
        <v>20.855630000000001</v>
      </c>
      <c r="AN376">
        <v>8.6130759999999995</v>
      </c>
      <c r="AO376">
        <v>72.031300000000002</v>
      </c>
      <c r="AP376">
        <v>79.441569999999999</v>
      </c>
      <c r="AQ376">
        <v>1.256208</v>
      </c>
      <c r="AR376">
        <v>8.3968640000000008</v>
      </c>
      <c r="AS376">
        <v>0.81265030000000005</v>
      </c>
      <c r="AT376">
        <v>2.3523269999999998</v>
      </c>
      <c r="AU376">
        <v>2.0592250000000001</v>
      </c>
      <c r="AV376">
        <v>2.3523269999999998</v>
      </c>
      <c r="AW376">
        <v>23.748830000000002</v>
      </c>
      <c r="AX376">
        <v>3.24</v>
      </c>
      <c r="AY376">
        <v>1.48404001905669</v>
      </c>
      <c r="AZ376" s="1">
        <v>0.51050001382827803</v>
      </c>
      <c r="BA376" s="1">
        <v>5.4999999701976797E-2</v>
      </c>
      <c r="BB376" s="1">
        <v>0.56550002098083496</v>
      </c>
      <c r="BC376" s="1">
        <v>2.2711139999999999</v>
      </c>
      <c r="BD376" s="2">
        <v>79.441565648308</v>
      </c>
      <c r="BE376" s="2">
        <f t="shared" si="10"/>
        <v>6.8358666366929981</v>
      </c>
      <c r="BF376" s="2">
        <f t="shared" si="11"/>
        <v>9.4150551950466586</v>
      </c>
      <c r="BG376">
        <v>3914073</v>
      </c>
      <c r="BH376" s="3">
        <v>154362</v>
      </c>
      <c r="BI376">
        <v>3.7941370576155204</v>
      </c>
      <c r="BJ376" s="3">
        <v>2728703</v>
      </c>
      <c r="BK376">
        <v>28344</v>
      </c>
      <c r="BL376">
        <v>1.0496382147707026</v>
      </c>
      <c r="BM376" s="3">
        <v>2.0438000000000001</v>
      </c>
      <c r="BN376">
        <v>60.966200000000001</v>
      </c>
      <c r="BO376">
        <v>96.756387874940486</v>
      </c>
      <c r="BP376">
        <v>3442954735.5924401</v>
      </c>
      <c r="BQ376">
        <v>10330742.419129848</v>
      </c>
      <c r="BR376">
        <v>0.29915691838713476</v>
      </c>
      <c r="BS376">
        <v>1.0842799999999999</v>
      </c>
      <c r="BT376">
        <v>1.5184880000000001</v>
      </c>
      <c r="BU376">
        <v>-2.7565628842110099</v>
      </c>
    </row>
    <row r="377" spans="1:73" x14ac:dyDescent="0.2">
      <c r="A377">
        <v>375</v>
      </c>
      <c r="B377" t="s">
        <v>92</v>
      </c>
      <c r="C377">
        <v>2003</v>
      </c>
      <c r="D377">
        <v>14</v>
      </c>
      <c r="E377">
        <v>1</v>
      </c>
      <c r="F377" t="s">
        <v>93</v>
      </c>
      <c r="G377">
        <v>0.61712</v>
      </c>
      <c r="H377">
        <v>1</v>
      </c>
      <c r="I377">
        <v>0.13500000000000001</v>
      </c>
      <c r="J377">
        <v>0.28199999999999997</v>
      </c>
      <c r="K377">
        <v>0.81699999999999995</v>
      </c>
      <c r="L377">
        <v>1.18</v>
      </c>
      <c r="M377">
        <v>0.25900000000000001</v>
      </c>
      <c r="N377">
        <v>0.33100000000000002</v>
      </c>
      <c r="O377">
        <v>-1.4350000000000001</v>
      </c>
      <c r="P377">
        <v>4.6619999999999999</v>
      </c>
      <c r="Q377">
        <v>1</v>
      </c>
      <c r="R377">
        <v>5727</v>
      </c>
      <c r="S377">
        <v>2.4500000000000002</v>
      </c>
      <c r="T377">
        <v>14.24</v>
      </c>
      <c r="U377">
        <v>6.81</v>
      </c>
      <c r="V377">
        <v>54.9</v>
      </c>
      <c r="W377" t="s">
        <v>54</v>
      </c>
      <c r="X377" t="s">
        <v>55</v>
      </c>
      <c r="Y377" t="s">
        <v>56</v>
      </c>
      <c r="Z377">
        <v>0.41599999999999998</v>
      </c>
      <c r="AA377">
        <v>0.56699999999999995</v>
      </c>
      <c r="AB377">
        <v>80</v>
      </c>
      <c r="AC377">
        <v>4.4000000000000004</v>
      </c>
      <c r="AE377">
        <v>-57.636200000000002</v>
      </c>
      <c r="AF377">
        <v>-25.3005</v>
      </c>
      <c r="AG377" t="s">
        <v>57</v>
      </c>
      <c r="AH377" t="s">
        <v>58</v>
      </c>
      <c r="AI377">
        <v>3816.087</v>
      </c>
      <c r="AJ377">
        <v>4.3207449999999996</v>
      </c>
      <c r="AK377">
        <v>21500000000</v>
      </c>
      <c r="AL377">
        <v>12.686170000000001</v>
      </c>
      <c r="AN377">
        <v>0.221164</v>
      </c>
      <c r="AO377">
        <v>70.390730000000005</v>
      </c>
      <c r="AP377">
        <v>81.127369999999999</v>
      </c>
      <c r="AQ377">
        <v>-0.75019170000000002</v>
      </c>
      <c r="AR377">
        <v>7.9363739999999998</v>
      </c>
      <c r="AS377">
        <v>4.3421500000000002</v>
      </c>
      <c r="AT377">
        <v>2.6560549999999998</v>
      </c>
      <c r="AU377">
        <v>2.0592250000000001</v>
      </c>
      <c r="AV377">
        <v>2.6560549999999998</v>
      </c>
      <c r="AW377">
        <v>23.791129999999999</v>
      </c>
      <c r="AX377">
        <v>3.73</v>
      </c>
      <c r="AY377">
        <v>1.48404001905669</v>
      </c>
      <c r="AZ377" s="1">
        <v>0.51849997043609597</v>
      </c>
      <c r="BA377" s="1">
        <v>0.12049999833107</v>
      </c>
      <c r="BB377" s="1">
        <v>0.63899993896484397</v>
      </c>
      <c r="BC377" s="1">
        <v>3.1777557999999999</v>
      </c>
      <c r="BD377" s="2">
        <v>81.127363770288</v>
      </c>
      <c r="BE377" s="2">
        <f t="shared" si="10"/>
        <v>1.6857981219799996</v>
      </c>
      <c r="BF377" s="2">
        <f t="shared" si="11"/>
        <v>2.1220605462927513</v>
      </c>
      <c r="BG377">
        <v>5079174</v>
      </c>
      <c r="BH377" s="3">
        <v>1165101</v>
      </c>
      <c r="BI377">
        <v>29.766971643094035</v>
      </c>
      <c r="BJ377" s="3">
        <v>3788878</v>
      </c>
      <c r="BK377">
        <v>1060175</v>
      </c>
      <c r="BL377">
        <v>38.852707678336557</v>
      </c>
      <c r="BM377" s="3">
        <v>28.460599999999999</v>
      </c>
      <c r="BN377">
        <v>26.416799999999999</v>
      </c>
      <c r="BO377">
        <v>1292.5335159996084</v>
      </c>
      <c r="BP377">
        <v>3828322186.33461</v>
      </c>
      <c r="BQ377">
        <v>385367450.74216986</v>
      </c>
      <c r="BR377">
        <v>11.192928177600873</v>
      </c>
      <c r="BS377">
        <v>0.4604897</v>
      </c>
      <c r="BT377">
        <v>0.86432290000000001</v>
      </c>
      <c r="BU377">
        <v>-1.8922400561961601</v>
      </c>
    </row>
    <row r="378" spans="1:73" x14ac:dyDescent="0.2">
      <c r="A378">
        <v>376</v>
      </c>
      <c r="B378" t="s">
        <v>92</v>
      </c>
      <c r="C378">
        <v>2004</v>
      </c>
      <c r="D378">
        <v>14</v>
      </c>
      <c r="E378">
        <v>0</v>
      </c>
      <c r="F378" t="s">
        <v>93</v>
      </c>
      <c r="G378">
        <v>0.61712</v>
      </c>
      <c r="H378">
        <v>0</v>
      </c>
      <c r="I378">
        <v>0.13500000000000001</v>
      </c>
      <c r="J378">
        <v>0.28199999999999997</v>
      </c>
      <c r="K378">
        <v>0.81699999999999995</v>
      </c>
      <c r="L378">
        <v>1.18</v>
      </c>
      <c r="M378">
        <v>0.25900000000000001</v>
      </c>
      <c r="N378">
        <v>0.33100000000000002</v>
      </c>
      <c r="O378">
        <v>-1.4350000000000001</v>
      </c>
      <c r="P378">
        <v>4.6580000000000004</v>
      </c>
      <c r="Q378">
        <v>0</v>
      </c>
      <c r="R378">
        <v>5876.7</v>
      </c>
      <c r="S378">
        <v>2.286</v>
      </c>
      <c r="T378">
        <v>4.32</v>
      </c>
      <c r="U378">
        <v>6.51</v>
      </c>
      <c r="V378">
        <v>52.3</v>
      </c>
      <c r="W378" t="s">
        <v>54</v>
      </c>
      <c r="X378" t="s">
        <v>55</v>
      </c>
      <c r="Y378" t="s">
        <v>56</v>
      </c>
      <c r="Z378">
        <v>0.438</v>
      </c>
      <c r="AA378">
        <v>0.59899999999999998</v>
      </c>
      <c r="AB378">
        <v>80</v>
      </c>
      <c r="AC378">
        <v>4.4000000000000004</v>
      </c>
      <c r="AE378">
        <v>-57.636200000000002</v>
      </c>
      <c r="AF378">
        <v>-25.3005</v>
      </c>
      <c r="AG378" t="s">
        <v>57</v>
      </c>
      <c r="AH378" t="s">
        <v>58</v>
      </c>
      <c r="AI378">
        <v>3903.3090000000002</v>
      </c>
      <c r="AJ378">
        <v>4.0574180000000002</v>
      </c>
      <c r="AK378">
        <v>22400000000</v>
      </c>
      <c r="AL378">
        <v>12.296810000000001</v>
      </c>
      <c r="AN378">
        <v>-0.101928</v>
      </c>
      <c r="AO378">
        <v>68.797370000000001</v>
      </c>
      <c r="AP378">
        <v>80.10445</v>
      </c>
      <c r="AQ378">
        <v>0.97646189999999999</v>
      </c>
      <c r="AR378">
        <v>7.5872440000000001</v>
      </c>
      <c r="AS378">
        <v>0.26332709999999998</v>
      </c>
      <c r="AT378">
        <v>1.463255</v>
      </c>
      <c r="AU378">
        <v>2.0592250000000001</v>
      </c>
      <c r="AV378">
        <v>1.463255</v>
      </c>
      <c r="AW378">
        <v>23.8309</v>
      </c>
      <c r="AX378">
        <v>9.92</v>
      </c>
      <c r="AY378">
        <v>1.48404001905669</v>
      </c>
      <c r="AZ378" s="1">
        <v>0.51849997043609597</v>
      </c>
      <c r="BA378" s="1">
        <v>0.12049999833107</v>
      </c>
      <c r="BB378" s="1">
        <v>0.63899993896484397</v>
      </c>
      <c r="BC378" s="1">
        <v>3.1777557999999999</v>
      </c>
      <c r="BD378" s="2">
        <v>80.104446615610996</v>
      </c>
      <c r="BE378" s="2">
        <f t="shared" si="10"/>
        <v>1.0229171546770033</v>
      </c>
      <c r="BF378" s="2">
        <f t="shared" si="11"/>
        <v>1.2608780898802425</v>
      </c>
      <c r="BG378">
        <v>6299826</v>
      </c>
      <c r="BH378" s="3">
        <v>1220652</v>
      </c>
      <c r="BI378">
        <v>24.032490322245309</v>
      </c>
      <c r="BJ378" s="3">
        <v>4705777</v>
      </c>
      <c r="BK378">
        <v>916899</v>
      </c>
      <c r="BL378">
        <v>24.199749899574492</v>
      </c>
      <c r="BM378" s="3">
        <v>69.5565</v>
      </c>
      <c r="BN378">
        <v>41.0959</v>
      </c>
      <c r="BO378">
        <v>144.39576115753007</v>
      </c>
      <c r="BP378">
        <v>3983945999.4004502</v>
      </c>
      <c r="BQ378">
        <v>155623813.06584024</v>
      </c>
      <c r="BR378">
        <v>4.0650657256943346</v>
      </c>
      <c r="BS378">
        <v>0.3491302</v>
      </c>
      <c r="BT378">
        <v>4.3420399999999999</v>
      </c>
      <c r="BU378">
        <v>2.4498001422272502</v>
      </c>
    </row>
    <row r="379" spans="1:73" x14ac:dyDescent="0.2">
      <c r="A379">
        <v>377</v>
      </c>
      <c r="B379" t="s">
        <v>92</v>
      </c>
      <c r="C379">
        <v>2005</v>
      </c>
      <c r="D379">
        <v>14</v>
      </c>
      <c r="E379">
        <v>0</v>
      </c>
      <c r="F379" t="s">
        <v>93</v>
      </c>
      <c r="G379">
        <v>0.61712</v>
      </c>
      <c r="H379">
        <v>0</v>
      </c>
      <c r="I379">
        <v>0.13500000000000001</v>
      </c>
      <c r="J379">
        <v>0.28199999999999997</v>
      </c>
      <c r="K379">
        <v>0.81699999999999995</v>
      </c>
      <c r="L379">
        <v>1.18</v>
      </c>
      <c r="M379">
        <v>0.25900000000000001</v>
      </c>
      <c r="N379">
        <v>0.33100000000000002</v>
      </c>
      <c r="O379">
        <v>-1.4350000000000001</v>
      </c>
      <c r="P379">
        <v>4.7370000000000001</v>
      </c>
      <c r="Q379">
        <v>0</v>
      </c>
      <c r="R379">
        <v>5922.8</v>
      </c>
      <c r="S379">
        <v>0.49299999999999999</v>
      </c>
      <c r="T379">
        <v>6.81</v>
      </c>
      <c r="U379">
        <v>4.82</v>
      </c>
      <c r="V379">
        <v>51.4</v>
      </c>
      <c r="W379" t="s">
        <v>54</v>
      </c>
      <c r="X379" t="s">
        <v>55</v>
      </c>
      <c r="Y379" t="s">
        <v>56</v>
      </c>
      <c r="Z379">
        <v>0.438</v>
      </c>
      <c r="AA379">
        <v>0.59899999999999998</v>
      </c>
      <c r="AB379">
        <v>80</v>
      </c>
      <c r="AC379">
        <v>4.4000000000000004</v>
      </c>
      <c r="AE379">
        <v>-57.636200000000002</v>
      </c>
      <c r="AF379">
        <v>-25.3005</v>
      </c>
      <c r="AG379" t="s">
        <v>57</v>
      </c>
      <c r="AH379" t="s">
        <v>58</v>
      </c>
      <c r="AI379">
        <v>3922.5590000000002</v>
      </c>
      <c r="AJ379">
        <v>2.1334909999999998</v>
      </c>
      <c r="AK379">
        <v>22900000000</v>
      </c>
      <c r="AL379">
        <v>12.280889999999999</v>
      </c>
      <c r="AN379">
        <v>-0.62869229999999998</v>
      </c>
      <c r="AO379">
        <v>67.324680000000001</v>
      </c>
      <c r="AP379">
        <v>85.021969999999996</v>
      </c>
      <c r="AQ379">
        <v>6.7986000000000005E-2</v>
      </c>
      <c r="AR379">
        <v>8.1189239999999998</v>
      </c>
      <c r="AS379">
        <v>1.9239280000000001</v>
      </c>
      <c r="AT379">
        <v>1.9183920000000001</v>
      </c>
      <c r="AU379">
        <v>2.0592250000000001</v>
      </c>
      <c r="AV379">
        <v>1.9183920000000001</v>
      </c>
      <c r="AW379">
        <v>23.85201</v>
      </c>
      <c r="AX379">
        <v>2.4900000000000002</v>
      </c>
      <c r="AY379">
        <v>1.48404001905669</v>
      </c>
      <c r="AZ379" s="1">
        <v>0.51849997043609597</v>
      </c>
      <c r="BA379" s="1">
        <v>0.12049999833107</v>
      </c>
      <c r="BB379" s="1">
        <v>0.63899993896484397</v>
      </c>
      <c r="BC379" s="1">
        <v>3.1777557999999999</v>
      </c>
      <c r="BD379" s="2">
        <v>85.021963654005006</v>
      </c>
      <c r="BE379" s="2">
        <f t="shared" si="10"/>
        <v>4.9175170383940099</v>
      </c>
      <c r="BF379" s="2">
        <f t="shared" si="11"/>
        <v>6.1388814805639882</v>
      </c>
      <c r="BG379">
        <v>7328798</v>
      </c>
      <c r="BH379" s="3">
        <v>1028972</v>
      </c>
      <c r="BI379">
        <v>16.333340000184133</v>
      </c>
      <c r="BJ379" s="3">
        <v>5674712</v>
      </c>
      <c r="BK379">
        <v>968935</v>
      </c>
      <c r="BL379">
        <v>20.590329716006519</v>
      </c>
      <c r="BM379" s="3">
        <v>41.999000000000002</v>
      </c>
      <c r="BN379">
        <v>27.557499999999997</v>
      </c>
      <c r="BO379">
        <v>39.618870989770897</v>
      </c>
      <c r="BP379">
        <v>4055209474.7866802</v>
      </c>
      <c r="BQ379">
        <v>71263475.386229992</v>
      </c>
      <c r="BR379">
        <v>1.7887660976568089</v>
      </c>
      <c r="BS379">
        <v>0.53168009999999999</v>
      </c>
      <c r="BT379">
        <v>0.16414619999999999</v>
      </c>
      <c r="BU379">
        <v>2.2856540737511502</v>
      </c>
    </row>
    <row r="380" spans="1:73" x14ac:dyDescent="0.2">
      <c r="A380">
        <v>378</v>
      </c>
      <c r="B380" t="s">
        <v>92</v>
      </c>
      <c r="C380">
        <v>2006</v>
      </c>
      <c r="D380">
        <v>14</v>
      </c>
      <c r="E380">
        <v>0</v>
      </c>
      <c r="F380" t="s">
        <v>93</v>
      </c>
      <c r="G380">
        <v>0.61712</v>
      </c>
      <c r="H380">
        <v>1</v>
      </c>
      <c r="I380">
        <v>0.13500000000000001</v>
      </c>
      <c r="J380">
        <v>0.28199999999999997</v>
      </c>
      <c r="K380">
        <v>0.81699999999999995</v>
      </c>
      <c r="L380">
        <v>1.18</v>
      </c>
      <c r="M380">
        <v>0.25900000000000001</v>
      </c>
      <c r="N380">
        <v>0.33100000000000002</v>
      </c>
      <c r="O380">
        <v>-1.4350000000000001</v>
      </c>
      <c r="P380">
        <v>4.327</v>
      </c>
      <c r="Q380">
        <v>0</v>
      </c>
      <c r="R380">
        <v>6128.6</v>
      </c>
      <c r="S380">
        <v>3.2280000000000002</v>
      </c>
      <c r="T380">
        <v>9.59</v>
      </c>
      <c r="U380">
        <v>5.28</v>
      </c>
      <c r="V380">
        <v>53</v>
      </c>
      <c r="W380" t="s">
        <v>54</v>
      </c>
      <c r="X380" t="s">
        <v>55</v>
      </c>
      <c r="Y380" t="s">
        <v>56</v>
      </c>
      <c r="Z380">
        <v>0.44</v>
      </c>
      <c r="AA380">
        <v>0.59899999999999998</v>
      </c>
      <c r="AB380">
        <v>80</v>
      </c>
      <c r="AC380">
        <v>4.4000000000000004</v>
      </c>
      <c r="AE380">
        <v>-57.636200000000002</v>
      </c>
      <c r="AF380">
        <v>-25.3005</v>
      </c>
      <c r="AG380" t="s">
        <v>57</v>
      </c>
      <c r="AH380" t="s">
        <v>58</v>
      </c>
      <c r="AI380">
        <v>4049.163</v>
      </c>
      <c r="AJ380">
        <v>4.8071169999999999</v>
      </c>
      <c r="AK380">
        <v>23900000000</v>
      </c>
      <c r="AL380">
        <v>11.668290000000001</v>
      </c>
      <c r="AN380">
        <v>1.2444770000000001</v>
      </c>
      <c r="AO380">
        <v>65.928349999999995</v>
      </c>
      <c r="AP380">
        <v>84.733530000000002</v>
      </c>
      <c r="AQ380">
        <v>1.3984209999999999</v>
      </c>
      <c r="AR380">
        <v>8.3044840000000004</v>
      </c>
      <c r="AS380">
        <v>2.6736260000000001</v>
      </c>
      <c r="AT380">
        <v>2.2607210000000002</v>
      </c>
      <c r="AU380">
        <v>2.0592250000000001</v>
      </c>
      <c r="AV380">
        <v>2.2607210000000002</v>
      </c>
      <c r="AW380">
        <v>23.898969999999998</v>
      </c>
      <c r="AX380">
        <v>2.78</v>
      </c>
      <c r="AY380">
        <v>1.48404001905669</v>
      </c>
      <c r="AZ380" s="1">
        <v>0.51849997043609597</v>
      </c>
      <c r="BA380" s="1">
        <v>0.12049999833107</v>
      </c>
      <c r="BB380" s="1">
        <v>0.63899993896484397</v>
      </c>
      <c r="BC380" s="1">
        <v>3.1777557999999999</v>
      </c>
      <c r="BD380" s="2">
        <v>84.733531304859994</v>
      </c>
      <c r="BE380" s="2">
        <f t="shared" si="10"/>
        <v>0.28843234914501181</v>
      </c>
      <c r="BF380" s="2">
        <f t="shared" si="11"/>
        <v>0.33924451606267392</v>
      </c>
      <c r="BG380">
        <v>8493420</v>
      </c>
      <c r="BH380" s="3">
        <v>1164622</v>
      </c>
      <c r="BI380">
        <v>15.89103697495824</v>
      </c>
      <c r="BJ380" s="3">
        <v>6628532</v>
      </c>
      <c r="BK380">
        <v>953820</v>
      </c>
      <c r="BL380">
        <v>16.80825388143046</v>
      </c>
      <c r="BM380" s="3">
        <v>161.42939999999999</v>
      </c>
      <c r="BN380">
        <v>119.43039999999999</v>
      </c>
      <c r="BO380">
        <v>284.3648658301388</v>
      </c>
      <c r="BP380">
        <v>4239665425.9299302</v>
      </c>
      <c r="BQ380">
        <v>184455951.14324999</v>
      </c>
      <c r="BR380">
        <v>4.5486170884662638</v>
      </c>
      <c r="BS380">
        <v>0.18556020000000001</v>
      </c>
      <c r="BT380">
        <v>1.7924979999999999</v>
      </c>
      <c r="BU380">
        <v>0.493156057541071</v>
      </c>
    </row>
    <row r="381" spans="1:73" x14ac:dyDescent="0.2">
      <c r="A381">
        <v>379</v>
      </c>
      <c r="B381" t="s">
        <v>92</v>
      </c>
      <c r="C381">
        <v>2007</v>
      </c>
      <c r="D381">
        <v>14</v>
      </c>
      <c r="E381">
        <v>0</v>
      </c>
      <c r="F381" t="s">
        <v>93</v>
      </c>
      <c r="G381">
        <v>0.61712</v>
      </c>
      <c r="H381">
        <v>0</v>
      </c>
      <c r="I381">
        <v>0.13500000000000001</v>
      </c>
      <c r="J381">
        <v>0.28199999999999997</v>
      </c>
      <c r="K381">
        <v>0.81699999999999995</v>
      </c>
      <c r="L381">
        <v>1.18</v>
      </c>
      <c r="M381">
        <v>0.25900000000000001</v>
      </c>
      <c r="N381">
        <v>0.33100000000000002</v>
      </c>
      <c r="O381">
        <v>-1.4350000000000001</v>
      </c>
      <c r="P381">
        <v>3.399</v>
      </c>
      <c r="Q381">
        <v>0</v>
      </c>
      <c r="R381">
        <v>6383.5</v>
      </c>
      <c r="S381">
        <v>3.9239999999999999</v>
      </c>
      <c r="T381">
        <v>8.1300000000000008</v>
      </c>
      <c r="U381">
        <v>4.71</v>
      </c>
      <c r="V381">
        <v>53</v>
      </c>
      <c r="W381" t="s">
        <v>54</v>
      </c>
      <c r="X381" t="s">
        <v>55</v>
      </c>
      <c r="Y381" t="s">
        <v>56</v>
      </c>
      <c r="Z381">
        <v>0.45300000000000001</v>
      </c>
      <c r="AA381">
        <v>0.59899999999999998</v>
      </c>
      <c r="AB381">
        <v>80</v>
      </c>
      <c r="AC381">
        <v>4.4000000000000004</v>
      </c>
      <c r="AE381">
        <v>-57.636200000000002</v>
      </c>
      <c r="AF381">
        <v>-25.3005</v>
      </c>
      <c r="AG381" t="s">
        <v>57</v>
      </c>
      <c r="AH381" t="s">
        <v>58</v>
      </c>
      <c r="AI381">
        <v>4208.049</v>
      </c>
      <c r="AJ381">
        <v>5.4216230000000003</v>
      </c>
      <c r="AK381">
        <v>25200000000</v>
      </c>
      <c r="AL381">
        <v>13.71766</v>
      </c>
      <c r="AN381">
        <v>4.3623849999999997</v>
      </c>
      <c r="AO381">
        <v>64.788319999999999</v>
      </c>
      <c r="AP381">
        <v>79.001140000000007</v>
      </c>
      <c r="AQ381">
        <v>0.58802469999999996</v>
      </c>
      <c r="AR381">
        <v>7.671424</v>
      </c>
      <c r="AS381">
        <v>0.61450579999999999</v>
      </c>
      <c r="AT381">
        <v>2.095561</v>
      </c>
      <c r="AU381">
        <v>2.0592250000000001</v>
      </c>
      <c r="AV381">
        <v>2.095561</v>
      </c>
      <c r="AW381">
        <v>23.95176</v>
      </c>
      <c r="AX381">
        <v>1.46</v>
      </c>
      <c r="AY381">
        <v>1.48404001905669</v>
      </c>
      <c r="AZ381" s="1">
        <v>0.51849997043609597</v>
      </c>
      <c r="BA381" s="1">
        <v>0.12049999833107</v>
      </c>
      <c r="BB381" s="1">
        <v>0.63899993896484397</v>
      </c>
      <c r="BC381" s="1">
        <v>3.1777557999999999</v>
      </c>
      <c r="BD381" s="2">
        <v>79.001137420326003</v>
      </c>
      <c r="BE381" s="2">
        <f t="shared" si="10"/>
        <v>5.732393884533991</v>
      </c>
      <c r="BF381" s="2">
        <f t="shared" si="11"/>
        <v>6.7652012093177127</v>
      </c>
      <c r="BG381">
        <v>11837438</v>
      </c>
      <c r="BH381" s="3">
        <v>3344018</v>
      </c>
      <c r="BI381">
        <v>39.371866692098116</v>
      </c>
      <c r="BJ381" s="3">
        <v>9179824</v>
      </c>
      <c r="BK381">
        <v>2551292</v>
      </c>
      <c r="BL381">
        <v>38.489547911966028</v>
      </c>
      <c r="BM381" s="3">
        <v>442.88339999999999</v>
      </c>
      <c r="BN381">
        <v>281.45400000000001</v>
      </c>
      <c r="BO381">
        <v>174.35114049857091</v>
      </c>
      <c r="BP381">
        <v>4741200949.6309996</v>
      </c>
      <c r="BQ381">
        <v>501535523.70106936</v>
      </c>
      <c r="BR381">
        <v>11.829601473589447</v>
      </c>
      <c r="BS381">
        <v>0.63306050000000003</v>
      </c>
      <c r="BT381">
        <v>2.7344309999999998</v>
      </c>
      <c r="BU381">
        <v>3.22758717365849</v>
      </c>
    </row>
    <row r="382" spans="1:73" x14ac:dyDescent="0.2">
      <c r="A382">
        <v>380</v>
      </c>
      <c r="B382" t="s">
        <v>92</v>
      </c>
      <c r="C382">
        <v>2008</v>
      </c>
      <c r="D382">
        <v>14</v>
      </c>
      <c r="E382">
        <v>1</v>
      </c>
      <c r="F382" t="s">
        <v>93</v>
      </c>
      <c r="G382">
        <v>0.61712</v>
      </c>
      <c r="H382">
        <v>0</v>
      </c>
      <c r="I382">
        <v>0.374</v>
      </c>
      <c r="J382">
        <v>0.39300000000000002</v>
      </c>
      <c r="K382">
        <v>1.359</v>
      </c>
      <c r="L382">
        <v>1.3919999999999999</v>
      </c>
      <c r="M382">
        <v>0.42299999999999999</v>
      </c>
      <c r="N382">
        <v>0.45600000000000002</v>
      </c>
      <c r="O382">
        <v>-1.4350000000000001</v>
      </c>
      <c r="P382">
        <v>3.9220000000000002</v>
      </c>
      <c r="Q382">
        <v>1</v>
      </c>
      <c r="R382">
        <v>6713</v>
      </c>
      <c r="S382">
        <v>4.91</v>
      </c>
      <c r="T382">
        <v>10.15</v>
      </c>
      <c r="U382">
        <v>4.42</v>
      </c>
      <c r="V382">
        <v>50.7</v>
      </c>
      <c r="W382" t="s">
        <v>54</v>
      </c>
      <c r="X382" t="s">
        <v>55</v>
      </c>
      <c r="Y382" t="s">
        <v>56</v>
      </c>
      <c r="Z382">
        <v>0.48499999999999999</v>
      </c>
      <c r="AA382">
        <v>0.60099999999999998</v>
      </c>
      <c r="AB382">
        <v>80</v>
      </c>
      <c r="AC382">
        <v>4.4000000000000004</v>
      </c>
      <c r="AE382">
        <v>-57.636200000000002</v>
      </c>
      <c r="AF382">
        <v>-25.3005</v>
      </c>
      <c r="AG382" t="s">
        <v>57</v>
      </c>
      <c r="AH382" t="s">
        <v>58</v>
      </c>
      <c r="AI382">
        <v>4420.3509999999997</v>
      </c>
      <c r="AJ382">
        <v>6.4962920000000004</v>
      </c>
      <c r="AK382">
        <v>26900000000</v>
      </c>
      <c r="AL382">
        <v>18.759699999999999</v>
      </c>
      <c r="AN382">
        <v>0.53503900000000004</v>
      </c>
      <c r="AO382">
        <v>63.791919999999998</v>
      </c>
      <c r="AP382">
        <v>80.777569999999997</v>
      </c>
      <c r="AQ382">
        <v>1.210507</v>
      </c>
      <c r="AR382">
        <v>7.4300680000000003</v>
      </c>
      <c r="AS382">
        <v>1.0746690000000001</v>
      </c>
      <c r="AT382">
        <v>2.3174739999999998</v>
      </c>
      <c r="AU382">
        <v>2.0592250000000001</v>
      </c>
      <c r="AV382">
        <v>2.3174739999999998</v>
      </c>
      <c r="AW382">
        <v>24.014700000000001</v>
      </c>
      <c r="AX382">
        <v>2.02</v>
      </c>
      <c r="AY382">
        <v>1.48404001905669</v>
      </c>
      <c r="AZ382" s="1">
        <v>0.172499999403954</v>
      </c>
      <c r="BA382" s="1">
        <v>7.8000001609325395E-2</v>
      </c>
      <c r="BB382" s="1">
        <v>0.25049999356269798</v>
      </c>
      <c r="BC382" s="1">
        <v>3.2258062000000001</v>
      </c>
      <c r="BD382" s="2">
        <v>80.777574657258995</v>
      </c>
      <c r="BE382" s="2">
        <f t="shared" si="10"/>
        <v>1.7764372369329919</v>
      </c>
      <c r="BF382" s="2">
        <f t="shared" si="11"/>
        <v>2.2486223552471749</v>
      </c>
      <c r="BG382">
        <v>14104062</v>
      </c>
      <c r="BH382" s="3">
        <v>2266624</v>
      </c>
      <c r="BI382">
        <v>19.147927110579165</v>
      </c>
      <c r="BJ382" s="3">
        <v>9869843</v>
      </c>
      <c r="BK382">
        <v>690019</v>
      </c>
      <c r="BL382">
        <v>7.5166909518090979</v>
      </c>
      <c r="BM382" s="3">
        <v>264.75310000000002</v>
      </c>
      <c r="BN382">
        <v>178.13029999999998</v>
      </c>
      <c r="BO382">
        <v>40.220586276207236</v>
      </c>
      <c r="BP382">
        <v>5527998075.7651196</v>
      </c>
      <c r="BQ382">
        <v>786797126.13411999</v>
      </c>
      <c r="BR382">
        <v>16.594890925164336</v>
      </c>
      <c r="BS382">
        <v>0.2413564</v>
      </c>
      <c r="BT382">
        <v>0.69634059999999998</v>
      </c>
      <c r="BU382">
        <v>3.9239276656163802</v>
      </c>
    </row>
    <row r="383" spans="1:73" x14ac:dyDescent="0.2">
      <c r="A383">
        <v>381</v>
      </c>
      <c r="B383" t="s">
        <v>92</v>
      </c>
      <c r="C383">
        <v>2009</v>
      </c>
      <c r="D383">
        <v>14</v>
      </c>
      <c r="E383">
        <v>0</v>
      </c>
      <c r="F383" t="s">
        <v>93</v>
      </c>
      <c r="G383">
        <v>0.61712</v>
      </c>
      <c r="H383">
        <v>0</v>
      </c>
      <c r="I383">
        <v>0.374</v>
      </c>
      <c r="J383">
        <v>0.39300000000000002</v>
      </c>
      <c r="K383">
        <v>1.359</v>
      </c>
      <c r="L383">
        <v>1.3919999999999999</v>
      </c>
      <c r="M383">
        <v>0.42299999999999999</v>
      </c>
      <c r="N383">
        <v>0.45600000000000002</v>
      </c>
      <c r="O383">
        <v>-1.51</v>
      </c>
      <c r="P383">
        <v>3.661</v>
      </c>
      <c r="Q383">
        <v>0</v>
      </c>
      <c r="R383">
        <v>6376.9</v>
      </c>
      <c r="S383">
        <v>-1.5960000000000001</v>
      </c>
      <c r="T383">
        <v>2.59</v>
      </c>
      <c r="U383">
        <v>5.46</v>
      </c>
      <c r="V383">
        <v>49.1</v>
      </c>
      <c r="W383" t="s">
        <v>54</v>
      </c>
      <c r="X383" t="s">
        <v>55</v>
      </c>
      <c r="Y383" t="s">
        <v>56</v>
      </c>
      <c r="Z383">
        <v>0.51600000000000001</v>
      </c>
      <c r="AA383">
        <v>0.64300000000000002</v>
      </c>
      <c r="AB383">
        <v>80</v>
      </c>
      <c r="AC383">
        <v>4.4000000000000004</v>
      </c>
      <c r="AE383">
        <v>-57.636200000000002</v>
      </c>
      <c r="AF383">
        <v>-25.3005</v>
      </c>
      <c r="AG383" t="s">
        <v>57</v>
      </c>
      <c r="AH383" t="s">
        <v>58</v>
      </c>
      <c r="AI383">
        <v>4349.674</v>
      </c>
      <c r="AJ383">
        <v>-0.26113730000000002</v>
      </c>
      <c r="AK383">
        <v>26800000000</v>
      </c>
      <c r="AL383">
        <v>21.581430000000001</v>
      </c>
      <c r="AN383">
        <v>2.4820859999999998</v>
      </c>
      <c r="AO383">
        <v>62.781489999999998</v>
      </c>
      <c r="AP383">
        <v>70.841980000000007</v>
      </c>
      <c r="AQ383">
        <v>0.63762739999999996</v>
      </c>
      <c r="AR383">
        <v>9.1370810000000002</v>
      </c>
      <c r="AS383">
        <v>6.7574300000000003</v>
      </c>
      <c r="AT383">
        <v>0.9516578</v>
      </c>
      <c r="AU383">
        <v>2.2801</v>
      </c>
      <c r="AV383">
        <v>0.9516578</v>
      </c>
      <c r="AW383">
        <v>24.012090000000001</v>
      </c>
      <c r="AX383">
        <v>7.5599990000000004</v>
      </c>
      <c r="AY383">
        <v>1.4244878513577901</v>
      </c>
      <c r="AZ383" s="1">
        <v>0.172499999403954</v>
      </c>
      <c r="BA383" s="1">
        <v>7.8000001609325395E-2</v>
      </c>
      <c r="BB383" s="1">
        <v>0.25049999356269798</v>
      </c>
      <c r="BC383" s="1">
        <v>3.2258062000000001</v>
      </c>
      <c r="BD383" s="2">
        <v>70.841981862433002</v>
      </c>
      <c r="BE383" s="2">
        <f t="shared" si="10"/>
        <v>9.9355927948259932</v>
      </c>
      <c r="BF383" s="2">
        <f t="shared" si="11"/>
        <v>12.299939478231341</v>
      </c>
      <c r="BG383">
        <v>18166058</v>
      </c>
      <c r="BH383" s="3">
        <v>4061996</v>
      </c>
      <c r="BI383">
        <v>28.800185365038811</v>
      </c>
      <c r="BJ383" s="3">
        <v>12787593</v>
      </c>
      <c r="BK383">
        <v>2917750</v>
      </c>
      <c r="BL383">
        <v>29.562273685609792</v>
      </c>
      <c r="BM383" s="3">
        <v>100.7239</v>
      </c>
      <c r="BN383">
        <v>164.0292</v>
      </c>
      <c r="BO383">
        <v>61.955535175980948</v>
      </c>
      <c r="BP383">
        <v>5169591068.8633299</v>
      </c>
      <c r="BQ383">
        <v>358407006.90178967</v>
      </c>
      <c r="BR383">
        <v>6.4834864627224622</v>
      </c>
      <c r="BS383">
        <v>1.707014</v>
      </c>
      <c r="BT383">
        <v>1.1212059999999999</v>
      </c>
      <c r="BU383">
        <v>5.04513405360085</v>
      </c>
    </row>
    <row r="384" spans="1:73" x14ac:dyDescent="0.2">
      <c r="A384">
        <v>382</v>
      </c>
      <c r="B384" t="s">
        <v>92</v>
      </c>
      <c r="C384">
        <v>2010</v>
      </c>
      <c r="D384">
        <v>14</v>
      </c>
      <c r="E384">
        <v>0</v>
      </c>
      <c r="F384" t="s">
        <v>93</v>
      </c>
      <c r="G384">
        <v>0.61712</v>
      </c>
      <c r="H384">
        <v>0</v>
      </c>
      <c r="I384">
        <v>0.374</v>
      </c>
      <c r="J384">
        <v>0.39300000000000002</v>
      </c>
      <c r="K384">
        <v>1.359</v>
      </c>
      <c r="L384">
        <v>1.3919999999999999</v>
      </c>
      <c r="M384">
        <v>0.42299999999999999</v>
      </c>
      <c r="N384">
        <v>0.45600000000000002</v>
      </c>
      <c r="O384">
        <v>-1.51</v>
      </c>
      <c r="P384">
        <v>3.613</v>
      </c>
      <c r="Q384">
        <v>0</v>
      </c>
      <c r="R384">
        <v>7139</v>
      </c>
      <c r="S384">
        <v>9.6489999999999991</v>
      </c>
      <c r="T384">
        <v>4.6500000000000004</v>
      </c>
      <c r="U384">
        <v>4.57</v>
      </c>
      <c r="V384">
        <v>51</v>
      </c>
      <c r="W384" t="s">
        <v>54</v>
      </c>
      <c r="X384" t="s">
        <v>55</v>
      </c>
      <c r="Y384" t="s">
        <v>56</v>
      </c>
      <c r="Z384">
        <v>0.51700000000000002</v>
      </c>
      <c r="AA384">
        <v>0.64600000000000002</v>
      </c>
      <c r="AB384">
        <v>80</v>
      </c>
      <c r="AC384">
        <v>4.4000000000000004</v>
      </c>
      <c r="AE384">
        <v>-57.636200000000002</v>
      </c>
      <c r="AF384">
        <v>-25.3005</v>
      </c>
      <c r="AG384" t="s">
        <v>57</v>
      </c>
      <c r="AH384" t="s">
        <v>58</v>
      </c>
      <c r="AI384">
        <v>4767.2780000000002</v>
      </c>
      <c r="AJ384">
        <v>11.095230000000001</v>
      </c>
      <c r="AK384">
        <v>29800000000</v>
      </c>
      <c r="AL384">
        <v>25.424140000000001</v>
      </c>
      <c r="AN384">
        <v>2.0963599999999999E-2</v>
      </c>
      <c r="AO384">
        <v>61.700629999999997</v>
      </c>
      <c r="AP384">
        <v>81.25752</v>
      </c>
      <c r="AQ384">
        <v>2.5435859999999999</v>
      </c>
      <c r="AR384">
        <v>9.0613759999999992</v>
      </c>
      <c r="AS384">
        <v>11.35637</v>
      </c>
      <c r="AT384">
        <v>1.536867</v>
      </c>
      <c r="AU384">
        <v>2.2801</v>
      </c>
      <c r="AV384">
        <v>1.536867</v>
      </c>
      <c r="AW384">
        <v>24.11731</v>
      </c>
      <c r="AX384">
        <v>2.06</v>
      </c>
      <c r="AY384">
        <v>1.4244878513577901</v>
      </c>
      <c r="AZ384" s="1">
        <v>0.172499999403954</v>
      </c>
      <c r="BA384" s="1">
        <v>7.8000001609325395E-2</v>
      </c>
      <c r="BB384" s="1">
        <v>0.25049999356269798</v>
      </c>
      <c r="BC384" s="1">
        <v>3.2258062000000001</v>
      </c>
      <c r="BD384" s="2">
        <v>81.257523374678996</v>
      </c>
      <c r="BE384" s="2">
        <f t="shared" si="10"/>
        <v>10.415541512245994</v>
      </c>
      <c r="BF384" s="2">
        <f t="shared" si="11"/>
        <v>14.70249877039265</v>
      </c>
      <c r="BG384">
        <v>21020022</v>
      </c>
      <c r="BH384" s="3">
        <v>2853964</v>
      </c>
      <c r="BI384">
        <v>15.710419949116094</v>
      </c>
      <c r="BJ384" s="3">
        <v>14495540</v>
      </c>
      <c r="BK384">
        <v>1707947</v>
      </c>
      <c r="BL384">
        <v>13.356282140039959</v>
      </c>
      <c r="BM384" s="3">
        <v>633.28099999999995</v>
      </c>
      <c r="BN384">
        <v>532.55709999999999</v>
      </c>
      <c r="BO384">
        <v>528.72962623567992</v>
      </c>
      <c r="BP384">
        <v>6597758358.2828598</v>
      </c>
      <c r="BQ384">
        <v>1428167289.4195299</v>
      </c>
      <c r="BR384">
        <v>27.626310677094814</v>
      </c>
      <c r="BS384">
        <v>7.5705499999999995E-2</v>
      </c>
      <c r="BT384">
        <v>6.6440149999999996</v>
      </c>
      <c r="BU384">
        <v>-1.59888081686076</v>
      </c>
    </row>
    <row r="385" spans="1:73" x14ac:dyDescent="0.2">
      <c r="A385">
        <v>383</v>
      </c>
      <c r="B385" t="s">
        <v>92</v>
      </c>
      <c r="C385">
        <v>2011</v>
      </c>
      <c r="D385">
        <v>14</v>
      </c>
      <c r="E385">
        <v>0</v>
      </c>
      <c r="F385" t="s">
        <v>93</v>
      </c>
      <c r="G385">
        <v>0.61712</v>
      </c>
      <c r="H385">
        <v>0</v>
      </c>
      <c r="I385">
        <v>0.374</v>
      </c>
      <c r="J385">
        <v>0.39300000000000002</v>
      </c>
      <c r="K385">
        <v>1.359</v>
      </c>
      <c r="L385">
        <v>1.3919999999999999</v>
      </c>
      <c r="M385">
        <v>0.42299999999999999</v>
      </c>
      <c r="N385">
        <v>0.45600000000000002</v>
      </c>
      <c r="O385">
        <v>-1.51</v>
      </c>
      <c r="P385">
        <v>3.6890000000000001</v>
      </c>
      <c r="Q385">
        <v>0</v>
      </c>
      <c r="R385">
        <v>7377</v>
      </c>
      <c r="S385">
        <v>2.8340000000000001</v>
      </c>
      <c r="T385">
        <v>8.25</v>
      </c>
      <c r="U385">
        <v>4.67</v>
      </c>
      <c r="V385">
        <v>52.3</v>
      </c>
      <c r="W385" t="s">
        <v>54</v>
      </c>
      <c r="X385" t="s">
        <v>55</v>
      </c>
      <c r="Y385" t="s">
        <v>56</v>
      </c>
      <c r="Z385">
        <v>0.51100000000000001</v>
      </c>
      <c r="AA385">
        <v>0.63700000000000001</v>
      </c>
      <c r="AB385">
        <v>80</v>
      </c>
      <c r="AC385">
        <v>4.4000000000000004</v>
      </c>
      <c r="AE385">
        <v>-57.636200000000002</v>
      </c>
      <c r="AF385">
        <v>-25.3005</v>
      </c>
      <c r="AG385" t="s">
        <v>57</v>
      </c>
      <c r="AH385" t="s">
        <v>58</v>
      </c>
      <c r="AI385">
        <v>4904.1469999999999</v>
      </c>
      <c r="AJ385">
        <v>4.2863709999999999</v>
      </c>
      <c r="AK385">
        <v>31100000000</v>
      </c>
      <c r="AL385">
        <v>28.952249999999999</v>
      </c>
      <c r="AN385">
        <v>9.0360099999999999E-2</v>
      </c>
      <c r="AO385">
        <v>60.755549999999999</v>
      </c>
      <c r="AP385">
        <v>78.492130000000003</v>
      </c>
      <c r="AQ385">
        <v>1.723622</v>
      </c>
      <c r="AR385">
        <v>10.06062</v>
      </c>
      <c r="AS385">
        <v>6.8088600000000001</v>
      </c>
      <c r="AT385">
        <v>2.1102129999999999</v>
      </c>
      <c r="AU385">
        <v>2.2801</v>
      </c>
      <c r="AV385">
        <v>2.1102129999999999</v>
      </c>
      <c r="AW385">
        <v>24.159279999999999</v>
      </c>
      <c r="AX385">
        <v>3.6</v>
      </c>
      <c r="AY385">
        <v>1.4244878513577901</v>
      </c>
      <c r="AZ385" s="1">
        <v>0.172499999403954</v>
      </c>
      <c r="BA385" s="1">
        <v>7.8000001609325395E-2</v>
      </c>
      <c r="BB385" s="1">
        <v>0.25049999356269798</v>
      </c>
      <c r="BC385" s="1">
        <v>3.2258062000000001</v>
      </c>
      <c r="BD385" s="2">
        <v>78.492123848990005</v>
      </c>
      <c r="BE385" s="2">
        <f t="shared" si="10"/>
        <v>2.7653995256889914</v>
      </c>
      <c r="BF385" s="2">
        <f t="shared" si="11"/>
        <v>3.4032535214465192</v>
      </c>
      <c r="BG385">
        <v>24669498</v>
      </c>
      <c r="BH385" s="3">
        <v>3649476</v>
      </c>
      <c r="BI385">
        <v>17.361903807712476</v>
      </c>
      <c r="BJ385" s="3">
        <v>16170404</v>
      </c>
      <c r="BK385">
        <v>1674864</v>
      </c>
      <c r="BL385">
        <v>11.554340162560345</v>
      </c>
      <c r="BM385" s="3">
        <v>624.41650000000004</v>
      </c>
      <c r="BN385">
        <v>8.8644999999999072</v>
      </c>
      <c r="BO385">
        <v>1.3997735602362786</v>
      </c>
      <c r="BP385">
        <v>6772063771.3836098</v>
      </c>
      <c r="BQ385">
        <v>174305413.10074997</v>
      </c>
      <c r="BR385">
        <v>2.6418884056571437</v>
      </c>
      <c r="BS385">
        <v>0.99924849999999998</v>
      </c>
      <c r="BT385">
        <v>11.199680000000001</v>
      </c>
      <c r="BU385">
        <v>9.60080177157276</v>
      </c>
    </row>
    <row r="386" spans="1:73" x14ac:dyDescent="0.2">
      <c r="A386">
        <v>384</v>
      </c>
      <c r="B386" t="s">
        <v>92</v>
      </c>
      <c r="C386">
        <v>2012</v>
      </c>
      <c r="D386">
        <v>14</v>
      </c>
      <c r="E386">
        <v>0</v>
      </c>
      <c r="F386" t="s">
        <v>93</v>
      </c>
      <c r="G386">
        <v>0.61712</v>
      </c>
      <c r="H386">
        <v>0</v>
      </c>
      <c r="I386">
        <v>0.374</v>
      </c>
      <c r="J386">
        <v>0.39300000000000002</v>
      </c>
      <c r="K386">
        <v>1.359</v>
      </c>
      <c r="L386">
        <v>1.3919999999999999</v>
      </c>
      <c r="M386">
        <v>0.42299999999999999</v>
      </c>
      <c r="N386">
        <v>0.45600000000000002</v>
      </c>
      <c r="O386">
        <v>-1.323</v>
      </c>
      <c r="P386">
        <v>3.6890000000000001</v>
      </c>
      <c r="Q386">
        <v>0</v>
      </c>
      <c r="R386">
        <v>7193</v>
      </c>
      <c r="S386">
        <v>-1.8939999999999999</v>
      </c>
      <c r="T386">
        <v>3.68</v>
      </c>
      <c r="U386">
        <v>4.09</v>
      </c>
      <c r="V386">
        <v>47.6</v>
      </c>
      <c r="W386" t="s">
        <v>54</v>
      </c>
      <c r="X386" t="s">
        <v>55</v>
      </c>
      <c r="Y386" t="s">
        <v>56</v>
      </c>
      <c r="Z386">
        <v>0.48799999999999999</v>
      </c>
      <c r="AA386">
        <v>0.61499999999999999</v>
      </c>
      <c r="AB386">
        <v>80</v>
      </c>
      <c r="AC386">
        <v>4.4000000000000004</v>
      </c>
      <c r="AE386">
        <v>-57.636200000000002</v>
      </c>
      <c r="AF386">
        <v>-25.3005</v>
      </c>
      <c r="AG386" t="s">
        <v>57</v>
      </c>
      <c r="AH386" t="s">
        <v>58</v>
      </c>
      <c r="AI386">
        <v>4803.05</v>
      </c>
      <c r="AJ386">
        <v>-0.70804310000000004</v>
      </c>
      <c r="AK386">
        <v>30800000000</v>
      </c>
      <c r="AL386">
        <v>31.546299999999999</v>
      </c>
      <c r="AN386">
        <v>-0.61347339999999995</v>
      </c>
      <c r="AO386">
        <v>59.681379999999997</v>
      </c>
      <c r="AP386">
        <v>74.764960000000002</v>
      </c>
      <c r="AQ386">
        <v>2.1930209999999999</v>
      </c>
      <c r="AR386">
        <v>11.72545</v>
      </c>
      <c r="AS386">
        <v>4.9944139999999999</v>
      </c>
      <c r="AT386">
        <v>1.302913</v>
      </c>
      <c r="AU386">
        <v>1.750329</v>
      </c>
      <c r="AV386">
        <v>1.302913</v>
      </c>
      <c r="AW386">
        <v>24.152170000000002</v>
      </c>
      <c r="AX386">
        <v>4.57</v>
      </c>
      <c r="AY386">
        <v>1.5729712561537199</v>
      </c>
      <c r="AZ386" s="1">
        <v>0.172499999403954</v>
      </c>
      <c r="BA386" s="1">
        <v>7.8000001609325395E-2</v>
      </c>
      <c r="BB386" s="1">
        <v>0.25049999356269798</v>
      </c>
      <c r="BC386" s="1">
        <v>3.2258062000000001</v>
      </c>
      <c r="BD386" s="2">
        <v>74.764957456109002</v>
      </c>
      <c r="BE386" s="2">
        <f t="shared" si="10"/>
        <v>3.7271663928810028</v>
      </c>
      <c r="BF386" s="2">
        <f t="shared" si="11"/>
        <v>4.748459093872464</v>
      </c>
      <c r="BG386">
        <v>27802494</v>
      </c>
      <c r="BH386" s="3">
        <v>3132996</v>
      </c>
      <c r="BI386">
        <v>12.699877395154129</v>
      </c>
      <c r="BJ386" s="3">
        <v>17736133</v>
      </c>
      <c r="BK386">
        <v>1565729</v>
      </c>
      <c r="BL386">
        <v>9.6826832526880597</v>
      </c>
      <c r="BM386" s="3">
        <v>724.58130000000006</v>
      </c>
      <c r="BN386">
        <v>100.16480000000001</v>
      </c>
      <c r="BO386">
        <v>16.041344198944135</v>
      </c>
      <c r="BP386">
        <v>6207235839.8093004</v>
      </c>
      <c r="BQ386">
        <v>564827931.57430935</v>
      </c>
      <c r="BR386">
        <v>8.3405583680572555</v>
      </c>
      <c r="BS386">
        <v>1.6648240000000001</v>
      </c>
      <c r="BT386">
        <v>6.7297919999999998</v>
      </c>
      <c r="BU386">
        <v>2.8710095861969198</v>
      </c>
    </row>
    <row r="387" spans="1:73" x14ac:dyDescent="0.2">
      <c r="A387">
        <v>385</v>
      </c>
      <c r="B387" t="s">
        <v>92</v>
      </c>
      <c r="C387">
        <v>2013</v>
      </c>
      <c r="D387">
        <v>14</v>
      </c>
      <c r="E387">
        <v>1</v>
      </c>
      <c r="F387" t="s">
        <v>93</v>
      </c>
      <c r="G387">
        <v>0.61712</v>
      </c>
      <c r="H387">
        <v>0</v>
      </c>
      <c r="I387">
        <v>4.0000000000000001E-3</v>
      </c>
      <c r="J387">
        <v>0.28199999999999997</v>
      </c>
      <c r="K387">
        <v>0.14499999999999999</v>
      </c>
      <c r="L387">
        <v>1.181</v>
      </c>
      <c r="M387">
        <v>5.3999999999999999E-2</v>
      </c>
      <c r="N387">
        <v>0.33300000000000002</v>
      </c>
      <c r="O387">
        <v>-1.423</v>
      </c>
      <c r="P387">
        <v>3.5139999999999998</v>
      </c>
      <c r="Q387">
        <v>1</v>
      </c>
      <c r="R387">
        <v>8102</v>
      </c>
      <c r="S387">
        <v>6.9390000000000001</v>
      </c>
      <c r="T387">
        <v>2.68</v>
      </c>
      <c r="U387">
        <v>4.38</v>
      </c>
      <c r="V387">
        <v>47.9</v>
      </c>
      <c r="W387" t="s">
        <v>54</v>
      </c>
      <c r="X387" t="s">
        <v>55</v>
      </c>
      <c r="Y387" t="s">
        <v>56</v>
      </c>
      <c r="Z387">
        <v>0.41799999999999998</v>
      </c>
      <c r="AA387">
        <v>0.59399999999999997</v>
      </c>
      <c r="AB387">
        <v>80</v>
      </c>
      <c r="AC387">
        <v>4.4000000000000004</v>
      </c>
      <c r="AE387">
        <v>-57.636200000000002</v>
      </c>
      <c r="AF387">
        <v>-25.3005</v>
      </c>
      <c r="AG387" t="s">
        <v>57</v>
      </c>
      <c r="AH387" t="s">
        <v>58</v>
      </c>
      <c r="AI387">
        <v>5130.4539999999997</v>
      </c>
      <c r="AJ387">
        <v>8.2930770000000003</v>
      </c>
      <c r="AK387">
        <v>33400000000</v>
      </c>
      <c r="AL387">
        <v>34.377899999999997</v>
      </c>
      <c r="AN387">
        <v>1.681179</v>
      </c>
      <c r="AO387">
        <v>58.600270000000002</v>
      </c>
      <c r="AP387">
        <v>73.369870000000006</v>
      </c>
      <c r="AQ387">
        <v>0.78940940000000004</v>
      </c>
      <c r="AR387">
        <v>11.29975</v>
      </c>
      <c r="AS387">
        <v>9.0011200000000002</v>
      </c>
      <c r="AT387">
        <v>0.98581680000000005</v>
      </c>
      <c r="AU387">
        <v>2.0249290000000002</v>
      </c>
      <c r="AV387">
        <v>0.98581680000000005</v>
      </c>
      <c r="AW387">
        <v>24.231839999999998</v>
      </c>
      <c r="AX387">
        <v>1</v>
      </c>
      <c r="AY387">
        <v>1.4935683658885199</v>
      </c>
      <c r="AZ387" s="1">
        <v>0.125499993562698</v>
      </c>
      <c r="BA387" s="1">
        <v>0.14299999177455899</v>
      </c>
      <c r="BB387" s="1">
        <v>0.26849997043609602</v>
      </c>
      <c r="BC387" s="1">
        <v>2.3564064999999998</v>
      </c>
      <c r="BD387" s="2">
        <v>73.369871384133006</v>
      </c>
      <c r="BE387" s="2">
        <f t="shared" si="10"/>
        <v>1.3950860719759959</v>
      </c>
      <c r="BF387" s="2">
        <f t="shared" si="11"/>
        <v>1.8659625036167318</v>
      </c>
      <c r="BG387">
        <v>32674470</v>
      </c>
      <c r="BH387" s="3">
        <v>4871976</v>
      </c>
      <c r="BI387">
        <v>17.523521450989254</v>
      </c>
      <c r="BJ387" s="3">
        <v>20359527</v>
      </c>
      <c r="BK387">
        <v>2623394</v>
      </c>
      <c r="BL387">
        <v>14.79124000705227</v>
      </c>
      <c r="BM387" s="3">
        <v>431.6551</v>
      </c>
      <c r="BN387">
        <v>292.92620000000005</v>
      </c>
      <c r="BO387">
        <v>40.42696106013225</v>
      </c>
      <c r="BP387">
        <v>6697971574.2905302</v>
      </c>
      <c r="BQ387">
        <v>490735734.48122978</v>
      </c>
      <c r="BR387">
        <v>7.9058657854428525</v>
      </c>
      <c r="BS387">
        <v>0.42569829999999997</v>
      </c>
      <c r="BT387">
        <v>4.932461</v>
      </c>
      <c r="BU387">
        <v>-2.0614515309632799</v>
      </c>
    </row>
    <row r="388" spans="1:73" x14ac:dyDescent="0.2">
      <c r="A388">
        <v>386</v>
      </c>
      <c r="B388" t="s">
        <v>92</v>
      </c>
      <c r="C388">
        <v>2014</v>
      </c>
      <c r="D388">
        <v>14</v>
      </c>
      <c r="E388">
        <v>0</v>
      </c>
      <c r="F388" t="s">
        <v>93</v>
      </c>
      <c r="G388">
        <v>0.61712</v>
      </c>
      <c r="H388">
        <v>0</v>
      </c>
      <c r="I388">
        <v>4.0000000000000001E-3</v>
      </c>
      <c r="J388">
        <v>0.28199999999999997</v>
      </c>
      <c r="K388">
        <v>0.14499999999999999</v>
      </c>
      <c r="L388">
        <v>1.181</v>
      </c>
      <c r="M388">
        <v>5.3999999999999999E-2</v>
      </c>
      <c r="N388">
        <v>0.33300000000000002</v>
      </c>
      <c r="O388">
        <v>-1.5349999999999999</v>
      </c>
      <c r="P388">
        <v>3.5139999999999998</v>
      </c>
      <c r="Q388">
        <v>0</v>
      </c>
      <c r="R388">
        <v>8382</v>
      </c>
      <c r="S388">
        <v>3.4430000000000001</v>
      </c>
      <c r="T388">
        <v>5.03</v>
      </c>
      <c r="U388">
        <v>5.03</v>
      </c>
      <c r="V388">
        <v>50.7</v>
      </c>
      <c r="W388" t="s">
        <v>54</v>
      </c>
      <c r="X388" t="s">
        <v>55</v>
      </c>
      <c r="Y388" t="s">
        <v>56</v>
      </c>
      <c r="Z388">
        <v>0.42699999999999999</v>
      </c>
      <c r="AA388">
        <v>0.60199999999999998</v>
      </c>
      <c r="AB388">
        <v>80</v>
      </c>
      <c r="AC388">
        <v>4.4000000000000004</v>
      </c>
      <c r="AE388">
        <v>-57.636200000000002</v>
      </c>
      <c r="AF388">
        <v>-25.3005</v>
      </c>
      <c r="AG388" t="s">
        <v>57</v>
      </c>
      <c r="AH388" t="s">
        <v>58</v>
      </c>
      <c r="AI388">
        <v>5329.37</v>
      </c>
      <c r="AJ388">
        <v>5.3012389999999998</v>
      </c>
      <c r="AK388">
        <v>35200000000</v>
      </c>
      <c r="AL388">
        <v>38.138150000000003</v>
      </c>
      <c r="AN388">
        <v>-1.3176500000000001E-2</v>
      </c>
      <c r="AO388">
        <v>57.689520000000002</v>
      </c>
      <c r="AP388">
        <v>69.08372</v>
      </c>
      <c r="AQ388">
        <v>2.0382880000000001</v>
      </c>
      <c r="AR388">
        <v>11.54885</v>
      </c>
      <c r="AS388">
        <v>2.991838</v>
      </c>
      <c r="AT388">
        <v>1.6154200000000001</v>
      </c>
      <c r="AU388">
        <v>2.3562249999999998</v>
      </c>
      <c r="AV388">
        <v>1.6154200000000001</v>
      </c>
      <c r="AW388">
        <v>24.2835</v>
      </c>
      <c r="AX388">
        <v>2.35</v>
      </c>
      <c r="AY388">
        <v>1.4046371287914901</v>
      </c>
      <c r="AZ388" s="1">
        <v>0.125499993562698</v>
      </c>
      <c r="BA388" s="1">
        <v>0.14299999177455899</v>
      </c>
      <c r="BB388" s="1">
        <v>0.26849997043609602</v>
      </c>
      <c r="BC388" s="1">
        <v>2.3564064999999998</v>
      </c>
      <c r="BD388" s="2">
        <v>69.083725102374999</v>
      </c>
      <c r="BE388" s="2">
        <f t="shared" ref="BE388:BE451" si="12">ABS(BD388-BD387)</f>
        <v>4.2861462817580076</v>
      </c>
      <c r="BF388" s="2">
        <f t="shared" ref="BF388:BF451" si="13">100*ABS(BD388-BD387)/BD387</f>
        <v>5.8418342582578537</v>
      </c>
      <c r="BG388">
        <v>35212895</v>
      </c>
      <c r="BH388" s="3">
        <v>2538425</v>
      </c>
      <c r="BI388">
        <v>7.7688329757146786</v>
      </c>
      <c r="BJ388" s="3">
        <v>22233807</v>
      </c>
      <c r="BK388">
        <v>1874280</v>
      </c>
      <c r="BL388">
        <v>9.2059113161125996</v>
      </c>
      <c r="BM388" s="3">
        <v>604.14189999999996</v>
      </c>
      <c r="BN388">
        <v>172.48679999999996</v>
      </c>
      <c r="BO388">
        <v>39.95940277318627</v>
      </c>
      <c r="BP388">
        <v>7171986989.5716496</v>
      </c>
      <c r="BQ388">
        <v>474015415.28111935</v>
      </c>
      <c r="BR388">
        <v>7.0769995068444072</v>
      </c>
      <c r="BS388">
        <v>0.24909500000000001</v>
      </c>
      <c r="BT388">
        <v>8.8780280000000005</v>
      </c>
      <c r="BU388">
        <v>6.8165764488643097</v>
      </c>
    </row>
    <row r="389" spans="1:73" x14ac:dyDescent="0.2">
      <c r="A389">
        <v>387</v>
      </c>
      <c r="B389" t="s">
        <v>92</v>
      </c>
      <c r="C389">
        <v>2015</v>
      </c>
      <c r="D389">
        <v>14</v>
      </c>
      <c r="E389">
        <v>0</v>
      </c>
      <c r="F389" t="s">
        <v>93</v>
      </c>
      <c r="G389">
        <v>0.61712</v>
      </c>
      <c r="H389">
        <v>0</v>
      </c>
      <c r="I389">
        <v>4.0000000000000001E-3</v>
      </c>
      <c r="J389">
        <v>0.28199999999999997</v>
      </c>
      <c r="K389">
        <v>0.14499999999999999</v>
      </c>
      <c r="L389">
        <v>1.181</v>
      </c>
      <c r="M389">
        <v>5.3999999999999999E-2</v>
      </c>
      <c r="N389">
        <v>0.33300000000000002</v>
      </c>
      <c r="O389">
        <v>-1.5349999999999999</v>
      </c>
      <c r="P389">
        <v>3.3039999999999998</v>
      </c>
      <c r="Q389">
        <v>0</v>
      </c>
      <c r="R389">
        <v>8539</v>
      </c>
      <c r="S389">
        <v>1.7050000000000001</v>
      </c>
      <c r="T389">
        <v>3.13</v>
      </c>
      <c r="U389">
        <v>4.5599999999999996</v>
      </c>
      <c r="V389">
        <v>47.6</v>
      </c>
      <c r="W389" t="s">
        <v>54</v>
      </c>
      <c r="X389" t="s">
        <v>55</v>
      </c>
      <c r="Y389" t="s">
        <v>56</v>
      </c>
      <c r="Z389">
        <v>0.42</v>
      </c>
      <c r="AA389">
        <v>0.58799999999999997</v>
      </c>
      <c r="AB389">
        <v>80</v>
      </c>
      <c r="AC389">
        <v>4.4000000000000004</v>
      </c>
      <c r="AE389">
        <v>-57.636200000000002</v>
      </c>
      <c r="AF389">
        <v>-25.3005</v>
      </c>
      <c r="AG389" t="s">
        <v>57</v>
      </c>
      <c r="AH389" t="s">
        <v>58</v>
      </c>
      <c r="AI389">
        <v>5413.7759999999998</v>
      </c>
      <c r="AJ389">
        <v>2.9571519999999998</v>
      </c>
      <c r="AK389">
        <v>36200000000</v>
      </c>
      <c r="AL389">
        <v>43.349649999999997</v>
      </c>
      <c r="AN389">
        <v>-0.21475259999999999</v>
      </c>
      <c r="AO389">
        <v>57.025019999999998</v>
      </c>
      <c r="AP389">
        <v>66.94014</v>
      </c>
      <c r="AQ389">
        <v>1.3962730000000001</v>
      </c>
      <c r="AR389">
        <v>11.80317</v>
      </c>
      <c r="AS389">
        <v>2.344087</v>
      </c>
      <c r="AT389">
        <v>1.141033</v>
      </c>
      <c r="AU389">
        <v>2.3562249999999998</v>
      </c>
      <c r="AV389">
        <v>1.141033</v>
      </c>
      <c r="AW389">
        <v>24.312639999999998</v>
      </c>
      <c r="AX389">
        <v>1.9</v>
      </c>
      <c r="AY389">
        <v>1.4046371287914901</v>
      </c>
      <c r="AZ389" s="1">
        <v>0.125499993562698</v>
      </c>
      <c r="BA389" s="1">
        <v>0.14299999177455899</v>
      </c>
      <c r="BB389" s="1">
        <v>0.26849997043609602</v>
      </c>
      <c r="BC389" s="1">
        <v>2.3564064999999998</v>
      </c>
      <c r="BD389" s="2">
        <v>66.940141046791993</v>
      </c>
      <c r="BE389" s="2">
        <f t="shared" si="12"/>
        <v>2.1435840555830055</v>
      </c>
      <c r="BF389" s="2">
        <f t="shared" si="13"/>
        <v>3.1028785034484367</v>
      </c>
      <c r="BG389">
        <v>37248497</v>
      </c>
      <c r="BH389" s="3">
        <v>2035602</v>
      </c>
      <c r="BI389">
        <v>5.7808425010212874</v>
      </c>
      <c r="BJ389" s="3">
        <v>23061708</v>
      </c>
      <c r="BK389">
        <v>827901</v>
      </c>
      <c r="BL389">
        <v>3.7236133245197278</v>
      </c>
      <c r="BM389" s="3">
        <v>377.84480000000002</v>
      </c>
      <c r="BN389">
        <v>226.29709999999994</v>
      </c>
      <c r="BO389">
        <v>37.457607227705935</v>
      </c>
      <c r="BP389">
        <v>7024931423.4906301</v>
      </c>
      <c r="BQ389">
        <v>147055566.0810194</v>
      </c>
      <c r="BR389">
        <v>2.0504159627568197</v>
      </c>
      <c r="BS389">
        <v>0.25432969999999999</v>
      </c>
      <c r="BT389">
        <v>2.939416</v>
      </c>
      <c r="BU389">
        <v>3.8771600003979199</v>
      </c>
    </row>
    <row r="390" spans="1:73" x14ac:dyDescent="0.2">
      <c r="A390">
        <v>388</v>
      </c>
      <c r="B390" t="s">
        <v>92</v>
      </c>
      <c r="C390">
        <v>2016</v>
      </c>
      <c r="D390">
        <v>14</v>
      </c>
      <c r="E390">
        <v>0</v>
      </c>
      <c r="F390" t="s">
        <v>93</v>
      </c>
      <c r="G390">
        <v>0.61712</v>
      </c>
      <c r="H390">
        <v>0</v>
      </c>
      <c r="I390">
        <v>4.0000000000000001E-3</v>
      </c>
      <c r="J390">
        <v>0.28199999999999997</v>
      </c>
      <c r="K390">
        <v>0.14499999999999999</v>
      </c>
      <c r="L390">
        <v>1.181</v>
      </c>
      <c r="M390">
        <v>5.3999999999999999E-2</v>
      </c>
      <c r="N390">
        <v>0.33300000000000002</v>
      </c>
      <c r="O390">
        <v>-1.5349999999999999</v>
      </c>
      <c r="P390">
        <v>3.907</v>
      </c>
      <c r="Q390">
        <v>0</v>
      </c>
      <c r="R390">
        <v>8786</v>
      </c>
      <c r="S390">
        <v>2.9409999999999998</v>
      </c>
      <c r="T390">
        <v>4.09</v>
      </c>
      <c r="U390">
        <v>5.25</v>
      </c>
      <c r="V390">
        <v>47.9</v>
      </c>
      <c r="W390" t="s">
        <v>54</v>
      </c>
      <c r="X390" t="s">
        <v>55</v>
      </c>
      <c r="Y390" t="s">
        <v>56</v>
      </c>
      <c r="Z390">
        <v>0.42499999999999999</v>
      </c>
      <c r="AA390">
        <v>0.59</v>
      </c>
      <c r="AB390">
        <v>80</v>
      </c>
      <c r="AC390">
        <v>4.4000000000000004</v>
      </c>
      <c r="AE390">
        <v>-57.636200000000002</v>
      </c>
      <c r="AF390">
        <v>-25.3005</v>
      </c>
      <c r="AG390" t="s">
        <v>57</v>
      </c>
      <c r="AH390" t="s">
        <v>58</v>
      </c>
      <c r="AI390">
        <v>5570.6049999999996</v>
      </c>
      <c r="AJ390">
        <v>4.2680259999999999</v>
      </c>
      <c r="AK390">
        <v>37800000000</v>
      </c>
      <c r="AL390">
        <v>41.355719999999998</v>
      </c>
      <c r="AN390">
        <v>4.2616579999999997</v>
      </c>
      <c r="AO390">
        <v>56.450710000000001</v>
      </c>
      <c r="AP390">
        <v>67.788390000000007</v>
      </c>
      <c r="AQ390">
        <v>1.6012360000000001</v>
      </c>
      <c r="AR390">
        <v>11.36299</v>
      </c>
      <c r="AS390">
        <v>1.3108740000000001</v>
      </c>
      <c r="AT390">
        <v>1.4085449999999999</v>
      </c>
      <c r="AU390">
        <v>2.3562249999999998</v>
      </c>
      <c r="AV390">
        <v>1.4085449999999999</v>
      </c>
      <c r="AW390">
        <v>24.354430000000001</v>
      </c>
      <c r="AX390">
        <v>0.96</v>
      </c>
      <c r="AY390">
        <v>1.4046371287914901</v>
      </c>
      <c r="AZ390" s="1">
        <v>0.125499993562698</v>
      </c>
      <c r="BA390" s="1">
        <v>0.14299999177455899</v>
      </c>
      <c r="BB390" s="1">
        <v>0.26849997043609602</v>
      </c>
      <c r="BC390" s="1">
        <v>2.3564064999999998</v>
      </c>
      <c r="BD390" s="2">
        <v>67.788387981474997</v>
      </c>
      <c r="BE390" s="2">
        <f t="shared" si="12"/>
        <v>0.84824693468300438</v>
      </c>
      <c r="BF390" s="2">
        <f t="shared" si="13"/>
        <v>1.2671723145758973</v>
      </c>
      <c r="BG390">
        <v>40268709</v>
      </c>
      <c r="BH390" s="3">
        <v>3020212</v>
      </c>
      <c r="BI390">
        <v>8.1082788387407962</v>
      </c>
      <c r="BJ390" s="3">
        <v>24837187</v>
      </c>
      <c r="BK390">
        <v>1775479</v>
      </c>
      <c r="BL390">
        <v>7.6988183182269063</v>
      </c>
      <c r="BM390" s="3">
        <v>504.62009999999998</v>
      </c>
      <c r="BN390">
        <v>126.77529999999996</v>
      </c>
      <c r="BO390">
        <v>33.552215089370016</v>
      </c>
      <c r="BP390">
        <v>7167388387.4519701</v>
      </c>
      <c r="BQ390">
        <v>142456963.96133995</v>
      </c>
      <c r="BR390">
        <v>2.0278769339296163</v>
      </c>
      <c r="BS390">
        <v>0.44018459999999998</v>
      </c>
      <c r="BT390">
        <v>2.2933659999999998</v>
      </c>
      <c r="BU390">
        <v>1.5837937104986499</v>
      </c>
    </row>
    <row r="391" spans="1:73" x14ac:dyDescent="0.2">
      <c r="A391">
        <v>389</v>
      </c>
      <c r="B391" t="s">
        <v>92</v>
      </c>
      <c r="C391">
        <v>2017</v>
      </c>
      <c r="D391">
        <v>14</v>
      </c>
      <c r="E391">
        <v>0</v>
      </c>
      <c r="F391" t="s">
        <v>93</v>
      </c>
      <c r="G391">
        <v>0.61712</v>
      </c>
      <c r="H391">
        <v>0</v>
      </c>
      <c r="I391">
        <v>4.0000000000000001E-3</v>
      </c>
      <c r="J391">
        <v>0.28199999999999997</v>
      </c>
      <c r="K391">
        <v>0.14499999999999999</v>
      </c>
      <c r="L391">
        <v>1.181</v>
      </c>
      <c r="M391">
        <v>5.3999999999999999E-2</v>
      </c>
      <c r="N391">
        <v>0.33300000000000002</v>
      </c>
      <c r="O391">
        <v>-1.3089999999999999</v>
      </c>
      <c r="P391">
        <v>3.51</v>
      </c>
      <c r="Q391">
        <v>0</v>
      </c>
      <c r="R391">
        <v>9113.7999999999993</v>
      </c>
      <c r="S391">
        <v>3.5910000000000002</v>
      </c>
      <c r="T391">
        <v>3.6</v>
      </c>
      <c r="U391">
        <v>4.6100000000000003</v>
      </c>
      <c r="V391">
        <v>48.5</v>
      </c>
      <c r="W391" t="s">
        <v>54</v>
      </c>
      <c r="X391" t="s">
        <v>55</v>
      </c>
      <c r="Y391" t="s">
        <v>56</v>
      </c>
      <c r="Z391">
        <v>0.42499999999999999</v>
      </c>
      <c r="AA391">
        <v>0.59299999999999997</v>
      </c>
      <c r="AB391">
        <v>80</v>
      </c>
      <c r="AC391">
        <v>4.4000000000000004</v>
      </c>
      <c r="AE391">
        <v>-57.636200000000002</v>
      </c>
      <c r="AF391">
        <v>-25.3005</v>
      </c>
      <c r="AG391" t="s">
        <v>57</v>
      </c>
      <c r="AH391" t="s">
        <v>58</v>
      </c>
      <c r="AI391">
        <v>5762.732</v>
      </c>
      <c r="AJ391">
        <v>4.810079</v>
      </c>
      <c r="AK391">
        <v>39600000000</v>
      </c>
      <c r="AL391">
        <v>40.510860000000001</v>
      </c>
      <c r="AN391">
        <v>3.0053339999999999</v>
      </c>
      <c r="AO391">
        <v>56.116729999999997</v>
      </c>
      <c r="AP391">
        <v>71.482219999999998</v>
      </c>
      <c r="AQ391">
        <v>1.278373</v>
      </c>
      <c r="AR391">
        <v>11.10768</v>
      </c>
      <c r="AS391">
        <v>0.54205270000000005</v>
      </c>
      <c r="AT391">
        <v>1.280934</v>
      </c>
      <c r="AU391">
        <v>1.713481</v>
      </c>
      <c r="AV391">
        <v>1.280934</v>
      </c>
      <c r="AW391">
        <v>24.401409999999998</v>
      </c>
      <c r="AX391">
        <v>0.4900002</v>
      </c>
      <c r="AY391">
        <v>1.5840876607908501</v>
      </c>
      <c r="AZ391" s="1">
        <v>0.125499993562698</v>
      </c>
      <c r="BA391" s="1">
        <v>0.14299999177455899</v>
      </c>
      <c r="BB391" s="1">
        <v>0.26849997043609602</v>
      </c>
      <c r="BC391" s="1" t="s">
        <v>101</v>
      </c>
      <c r="BD391" s="2">
        <v>71.482212721240003</v>
      </c>
      <c r="BE391" s="2">
        <f t="shared" si="12"/>
        <v>3.6938247397650059</v>
      </c>
      <c r="BF391" s="2">
        <f t="shared" si="13"/>
        <v>5.4490523373626214</v>
      </c>
      <c r="BG391">
        <v>46864297</v>
      </c>
      <c r="BH391" s="3">
        <v>6595588</v>
      </c>
      <c r="BI391">
        <v>16.37894078004835</v>
      </c>
      <c r="BJ391" s="3">
        <v>29017586</v>
      </c>
      <c r="BK391">
        <v>4180399</v>
      </c>
      <c r="BL391">
        <v>16.83120958907303</v>
      </c>
      <c r="BM391" s="3">
        <v>336.48250000000002</v>
      </c>
      <c r="BN391">
        <v>168.13759999999996</v>
      </c>
      <c r="BO391">
        <v>33.31963986373114</v>
      </c>
      <c r="BP391">
        <v>7589384667.5111198</v>
      </c>
      <c r="BQ391">
        <v>421996280.05914974</v>
      </c>
      <c r="BR391">
        <v>5.8877272619681609</v>
      </c>
      <c r="BS391">
        <v>0.25531199999999998</v>
      </c>
      <c r="BT391">
        <v>1.3130630000000001</v>
      </c>
      <c r="BU391">
        <v>2.8968566149096802</v>
      </c>
    </row>
    <row r="392" spans="1:73" x14ac:dyDescent="0.2">
      <c r="A392">
        <v>390</v>
      </c>
      <c r="B392" t="s">
        <v>92</v>
      </c>
      <c r="C392">
        <v>2018</v>
      </c>
      <c r="D392">
        <v>14</v>
      </c>
      <c r="E392">
        <v>0</v>
      </c>
      <c r="F392" t="s">
        <v>93</v>
      </c>
      <c r="G392">
        <v>0.61712</v>
      </c>
      <c r="H392">
        <v>0</v>
      </c>
      <c r="O392">
        <v>-1.415</v>
      </c>
      <c r="P392">
        <v>4.359</v>
      </c>
      <c r="Q392">
        <v>1</v>
      </c>
      <c r="R392">
        <v>9339</v>
      </c>
      <c r="S392">
        <v>2.0339999999999998</v>
      </c>
      <c r="T392">
        <v>3.98</v>
      </c>
      <c r="U392">
        <v>6.22</v>
      </c>
      <c r="V392">
        <v>46</v>
      </c>
      <c r="W392" t="s">
        <v>54</v>
      </c>
      <c r="X392" t="s">
        <v>55</v>
      </c>
      <c r="Y392" t="s">
        <v>56</v>
      </c>
      <c r="Z392">
        <v>0.42299999999999999</v>
      </c>
      <c r="AA392">
        <v>0.58499999999999996</v>
      </c>
      <c r="AB392">
        <v>80</v>
      </c>
      <c r="AC392">
        <v>4.4000000000000004</v>
      </c>
      <c r="AE392">
        <v>-57.636200000000002</v>
      </c>
      <c r="AF392">
        <v>-25.3005</v>
      </c>
      <c r="AG392" t="s">
        <v>57</v>
      </c>
      <c r="AH392" t="s">
        <v>58</v>
      </c>
      <c r="AI392">
        <v>5871.2809999999999</v>
      </c>
      <c r="AJ392">
        <v>3.20425</v>
      </c>
      <c r="AK392">
        <v>40800000000</v>
      </c>
      <c r="AL392">
        <v>43.937010000000001</v>
      </c>
      <c r="AN392">
        <v>-0.1686764</v>
      </c>
      <c r="AO392">
        <v>55.935009999999998</v>
      </c>
      <c r="AP392">
        <v>72.528589999999994</v>
      </c>
      <c r="AQ392">
        <v>0.48184840000000001</v>
      </c>
      <c r="AR392">
        <v>11.52023</v>
      </c>
      <c r="AS392">
        <v>1.605828</v>
      </c>
      <c r="AT392">
        <v>1.3812819999999999</v>
      </c>
      <c r="AU392">
        <v>2.0022250000000001</v>
      </c>
      <c r="AV392">
        <v>1.3812819999999999</v>
      </c>
      <c r="AW392">
        <v>24.432950000000002</v>
      </c>
      <c r="AX392">
        <v>0.38000010000000001</v>
      </c>
      <c r="AY392">
        <v>1.49992059710973</v>
      </c>
      <c r="AZ392" s="1" t="s">
        <v>101</v>
      </c>
      <c r="BA392" s="1" t="s">
        <v>101</v>
      </c>
      <c r="BB392" s="1" t="s">
        <v>101</v>
      </c>
      <c r="BC392" s="1" t="s">
        <v>101</v>
      </c>
      <c r="BD392" s="2">
        <v>72.528586068527005</v>
      </c>
      <c r="BE392" s="2">
        <f t="shared" si="12"/>
        <v>1.0463733472870018</v>
      </c>
      <c r="BF392" s="2">
        <f t="shared" si="13"/>
        <v>1.4638233868998374</v>
      </c>
      <c r="BG392">
        <v>49724754</v>
      </c>
      <c r="BH392" s="3">
        <v>2860457</v>
      </c>
      <c r="BI392">
        <v>6.1037019289972489</v>
      </c>
      <c r="BJ392" s="3">
        <v>30155797</v>
      </c>
      <c r="BK392">
        <v>1138211</v>
      </c>
      <c r="BL392">
        <v>3.9224868671019015</v>
      </c>
      <c r="BM392" s="3">
        <v>156.2321</v>
      </c>
      <c r="BN392">
        <v>180.25040000000001</v>
      </c>
      <c r="BO392">
        <v>53.569026620998123</v>
      </c>
      <c r="BP392">
        <v>8111343370.4754105</v>
      </c>
      <c r="BQ392">
        <v>521958702.96429062</v>
      </c>
      <c r="BR392">
        <v>6.8774838255162916</v>
      </c>
      <c r="BS392">
        <v>0.41255570000000003</v>
      </c>
      <c r="BT392">
        <v>0.55209160000000002</v>
      </c>
      <c r="BU392">
        <v>3.4489482473036301</v>
      </c>
    </row>
    <row r="393" spans="1:73" x14ac:dyDescent="0.2">
      <c r="A393">
        <v>391</v>
      </c>
      <c r="B393" t="s">
        <v>92</v>
      </c>
      <c r="C393">
        <v>2019</v>
      </c>
      <c r="D393">
        <v>14</v>
      </c>
      <c r="E393">
        <v>0</v>
      </c>
      <c r="F393" t="s">
        <v>93</v>
      </c>
      <c r="G393">
        <v>0.61712</v>
      </c>
      <c r="H393">
        <v>0</v>
      </c>
      <c r="O393">
        <v>-1.54</v>
      </c>
      <c r="Q393">
        <v>0</v>
      </c>
      <c r="S393">
        <v>-1.2869999999999999</v>
      </c>
      <c r="T393">
        <v>2.76</v>
      </c>
      <c r="U393">
        <v>6.59</v>
      </c>
      <c r="V393">
        <v>45.7</v>
      </c>
      <c r="W393" t="s">
        <v>54</v>
      </c>
      <c r="X393" t="s">
        <v>55</v>
      </c>
      <c r="Y393" t="s">
        <v>56</v>
      </c>
      <c r="Z393">
        <v>0.42899999999999999</v>
      </c>
      <c r="AA393">
        <v>0.59</v>
      </c>
      <c r="AB393">
        <v>80</v>
      </c>
      <c r="AC393">
        <v>4.4000000000000004</v>
      </c>
      <c r="AE393">
        <v>-57.636200000000002</v>
      </c>
      <c r="AF393">
        <v>-25.3005</v>
      </c>
      <c r="AG393" t="s">
        <v>57</v>
      </c>
      <c r="AH393" t="s">
        <v>58</v>
      </c>
      <c r="AI393">
        <v>5774.1660000000002</v>
      </c>
      <c r="AJ393">
        <v>-0.40185510000000002</v>
      </c>
      <c r="AK393">
        <v>40700000000</v>
      </c>
      <c r="AL393">
        <v>46.947879999999998</v>
      </c>
      <c r="AN393">
        <v>-0.46981610000000001</v>
      </c>
      <c r="AO393">
        <v>55.763629999999999</v>
      </c>
      <c r="AP393">
        <v>71.327650000000006</v>
      </c>
      <c r="AQ393">
        <v>0.90678749999999997</v>
      </c>
      <c r="AR393">
        <v>11.94627</v>
      </c>
      <c r="AS393">
        <v>3.6061049999999999</v>
      </c>
      <c r="AT393">
        <v>1.015231</v>
      </c>
      <c r="AU393">
        <v>2.3715999999999999</v>
      </c>
      <c r="AV393">
        <v>1.015231</v>
      </c>
      <c r="AW393">
        <v>24.428930000000001</v>
      </c>
      <c r="AX393">
        <v>1.22</v>
      </c>
      <c r="AY393">
        <v>1.40066698427823</v>
      </c>
      <c r="AZ393" s="1" t="s">
        <v>101</v>
      </c>
      <c r="BA393" s="1" t="s">
        <v>101</v>
      </c>
      <c r="BB393" s="1" t="s">
        <v>101</v>
      </c>
      <c r="BC393" s="1" t="s">
        <v>101</v>
      </c>
      <c r="BD393" s="2">
        <v>71.32765530508</v>
      </c>
      <c r="BE393" s="2">
        <f t="shared" si="12"/>
        <v>1.2009307634470048</v>
      </c>
      <c r="BF393" s="2">
        <f t="shared" si="13"/>
        <v>1.6558033577441209</v>
      </c>
      <c r="BG393">
        <v>53303021</v>
      </c>
      <c r="BH393" s="3">
        <v>3578267</v>
      </c>
      <c r="BI393">
        <v>7.1961482202606772</v>
      </c>
      <c r="BJ393" s="3">
        <v>32499208</v>
      </c>
      <c r="BK393">
        <v>2343411</v>
      </c>
      <c r="BL393">
        <v>7.7710133146207347</v>
      </c>
      <c r="BM393" s="3">
        <v>224.54929999999999</v>
      </c>
      <c r="BN393">
        <v>68.317199999999985</v>
      </c>
      <c r="BO393">
        <v>43.728017481682691</v>
      </c>
      <c r="BP393">
        <v>7616062215.8799105</v>
      </c>
      <c r="BQ393">
        <v>495281154.59549999</v>
      </c>
      <c r="BR393">
        <v>6.1060311710915931</v>
      </c>
      <c r="BS393">
        <v>0.42603489999999999</v>
      </c>
      <c r="BT393">
        <v>1.5653159999999999</v>
      </c>
      <c r="BU393">
        <v>1.88363182374449</v>
      </c>
    </row>
    <row r="394" spans="1:73" x14ac:dyDescent="0.2">
      <c r="A394">
        <v>336</v>
      </c>
      <c r="B394" t="s">
        <v>94</v>
      </c>
      <c r="C394">
        <v>1992</v>
      </c>
      <c r="D394">
        <v>15</v>
      </c>
      <c r="E394">
        <v>0</v>
      </c>
      <c r="F394" t="s">
        <v>95</v>
      </c>
      <c r="G394">
        <v>0.79774999999999996</v>
      </c>
      <c r="H394">
        <v>0</v>
      </c>
      <c r="O394">
        <v>0.59</v>
      </c>
      <c r="Q394">
        <v>0</v>
      </c>
      <c r="R394">
        <v>4698.5</v>
      </c>
      <c r="S394">
        <v>-2.4649999999999999</v>
      </c>
      <c r="T394">
        <v>73.53</v>
      </c>
      <c r="U394">
        <v>9.4</v>
      </c>
      <c r="W394" t="s">
        <v>54</v>
      </c>
      <c r="X394" t="s">
        <v>55</v>
      </c>
      <c r="Y394" t="s">
        <v>59</v>
      </c>
      <c r="Z394">
        <v>0.111</v>
      </c>
      <c r="AA394">
        <v>0.22900000000000001</v>
      </c>
      <c r="AB394">
        <v>120</v>
      </c>
      <c r="AC394">
        <v>80</v>
      </c>
      <c r="AD394">
        <v>80.14273</v>
      </c>
      <c r="AE394">
        <v>-77.046499999999995</v>
      </c>
      <c r="AF394">
        <v>-12.0931</v>
      </c>
      <c r="AG394" t="s">
        <v>57</v>
      </c>
      <c r="AH394" t="s">
        <v>58</v>
      </c>
      <c r="AI394">
        <v>2637.991</v>
      </c>
      <c r="AJ394">
        <v>-0.54050909999999996</v>
      </c>
      <c r="AK394">
        <v>60600000000</v>
      </c>
      <c r="AL394">
        <v>9.0795969999999997</v>
      </c>
      <c r="AM394">
        <v>80.14273</v>
      </c>
      <c r="AN394">
        <v>-5.2437969999999998</v>
      </c>
      <c r="AO394">
        <v>73.738240000000005</v>
      </c>
      <c r="AP394">
        <v>27.97729</v>
      </c>
      <c r="AQ394">
        <v>-0.21965000000000001</v>
      </c>
      <c r="AR394">
        <v>7.8595579999999998</v>
      </c>
      <c r="AT394">
        <v>4.2976929999999998</v>
      </c>
      <c r="AU394">
        <v>0.34810000000000002</v>
      </c>
      <c r="AV394">
        <v>4.2976929999999998</v>
      </c>
      <c r="AW394">
        <v>24.82733</v>
      </c>
      <c r="AY394">
        <v>3.0919485469271102</v>
      </c>
      <c r="AZ394" s="1">
        <v>0.61849999427795399</v>
      </c>
      <c r="BA394" s="1">
        <v>0.12749999761581399</v>
      </c>
      <c r="BB394" s="1">
        <v>0.74599999189376798</v>
      </c>
      <c r="BC394" s="1">
        <v>5.8294350000000001</v>
      </c>
      <c r="BD394" s="2">
        <v>27.988553745463001</v>
      </c>
      <c r="BE394" s="2"/>
      <c r="BF394" s="2"/>
      <c r="BH394" s="3"/>
      <c r="BJ394" s="3">
        <v>1577</v>
      </c>
      <c r="BK394">
        <v>39690740</v>
      </c>
      <c r="BL394">
        <v>99.99602693891616</v>
      </c>
      <c r="BM394" s="3">
        <v>-79</v>
      </c>
      <c r="BN394">
        <v>72</v>
      </c>
      <c r="BO394">
        <v>-1028.5714285714287</v>
      </c>
      <c r="BP394">
        <v>8211754041.9146996</v>
      </c>
      <c r="BQ394">
        <v>120500179.82803917</v>
      </c>
      <c r="BR394">
        <v>1.4892646044968274</v>
      </c>
      <c r="BU394">
        <v>-1.6540708201416801</v>
      </c>
    </row>
    <row r="395" spans="1:73" x14ac:dyDescent="0.2">
      <c r="A395">
        <v>337</v>
      </c>
      <c r="B395" t="s">
        <v>94</v>
      </c>
      <c r="C395">
        <v>1993</v>
      </c>
      <c r="D395">
        <v>15</v>
      </c>
      <c r="E395">
        <v>0</v>
      </c>
      <c r="F395" t="s">
        <v>95</v>
      </c>
      <c r="G395">
        <v>0.79774999999999996</v>
      </c>
      <c r="H395">
        <v>0</v>
      </c>
      <c r="O395">
        <v>0.59</v>
      </c>
      <c r="Q395">
        <v>0</v>
      </c>
      <c r="R395">
        <v>4857</v>
      </c>
      <c r="S395">
        <v>3.2589999999999999</v>
      </c>
      <c r="T395">
        <v>48.58</v>
      </c>
      <c r="U395">
        <v>9.8699999999999992</v>
      </c>
      <c r="W395" t="s">
        <v>54</v>
      </c>
      <c r="X395" t="s">
        <v>55</v>
      </c>
      <c r="Y395" t="s">
        <v>59</v>
      </c>
      <c r="Z395">
        <v>0.10100000000000001</v>
      </c>
      <c r="AA395">
        <v>0.25900000000000001</v>
      </c>
      <c r="AB395">
        <v>120</v>
      </c>
      <c r="AC395">
        <v>80</v>
      </c>
      <c r="AD395">
        <v>70.616100000000003</v>
      </c>
      <c r="AE395">
        <v>-77.046499999999995</v>
      </c>
      <c r="AF395">
        <v>-12.0931</v>
      </c>
      <c r="AG395" t="s">
        <v>57</v>
      </c>
      <c r="AH395" t="s">
        <v>58</v>
      </c>
      <c r="AI395">
        <v>2723.9749999999999</v>
      </c>
      <c r="AJ395">
        <v>5.2435770000000002</v>
      </c>
      <c r="AK395">
        <v>63800000000</v>
      </c>
      <c r="AL395">
        <v>11.116490000000001</v>
      </c>
      <c r="AM395">
        <v>70.616100000000003</v>
      </c>
      <c r="AN395">
        <v>-7.0747799999999996</v>
      </c>
      <c r="AO395">
        <v>72.767840000000007</v>
      </c>
      <c r="AP395">
        <v>28.766590000000001</v>
      </c>
      <c r="AQ395">
        <v>2.1835879999999999</v>
      </c>
      <c r="AR395">
        <v>7.9856379999999998</v>
      </c>
      <c r="AS395">
        <v>5.7840860000000003</v>
      </c>
      <c r="AT395">
        <v>3.8832119999999999</v>
      </c>
      <c r="AU395">
        <v>0.34810000000000002</v>
      </c>
      <c r="AV395">
        <v>3.8832119999999999</v>
      </c>
      <c r="AW395">
        <v>24.878440000000001</v>
      </c>
      <c r="AX395">
        <v>24.95</v>
      </c>
      <c r="AY395">
        <v>3.0919485469271102</v>
      </c>
      <c r="AZ395" s="1">
        <v>0.61849999427795399</v>
      </c>
      <c r="BA395" s="1">
        <v>0.12749999761581399</v>
      </c>
      <c r="BB395" s="1">
        <v>0.74599999189376798</v>
      </c>
      <c r="BC395" s="1">
        <v>3.0018760000000002</v>
      </c>
      <c r="BD395" s="2">
        <v>28.77556699082</v>
      </c>
      <c r="BE395" s="2">
        <f t="shared" si="12"/>
        <v>0.78701324535699868</v>
      </c>
      <c r="BF395" s="2">
        <f t="shared" si="13"/>
        <v>2.8119110852041618</v>
      </c>
      <c r="BG395">
        <v>3732</v>
      </c>
      <c r="BH395" s="3">
        <v>934</v>
      </c>
      <c r="BI395">
        <v>33.38098641887062</v>
      </c>
      <c r="BJ395" s="3">
        <v>2338</v>
      </c>
      <c r="BK395">
        <v>761</v>
      </c>
      <c r="BL395">
        <v>48.256182625237791</v>
      </c>
      <c r="BM395" s="3">
        <v>760.58889999999997</v>
      </c>
      <c r="BN395">
        <v>839.58889999999997</v>
      </c>
      <c r="BO395">
        <v>-1062.7707594936708</v>
      </c>
      <c r="BP395">
        <v>9158410849.2371292</v>
      </c>
      <c r="BQ395">
        <v>946656807.32242966</v>
      </c>
      <c r="BR395">
        <v>11.528070647153744</v>
      </c>
      <c r="BS395">
        <v>0.12608</v>
      </c>
      <c r="BT395">
        <v>7.2111510000000001</v>
      </c>
      <c r="BU395">
        <v>5.5570799558036601</v>
      </c>
    </row>
    <row r="396" spans="1:73" x14ac:dyDescent="0.2">
      <c r="A396">
        <v>338</v>
      </c>
      <c r="B396" t="s">
        <v>94</v>
      </c>
      <c r="C396">
        <v>1994</v>
      </c>
      <c r="D396">
        <v>15</v>
      </c>
      <c r="E396">
        <v>0</v>
      </c>
      <c r="F396" t="s">
        <v>95</v>
      </c>
      <c r="G396">
        <v>0.79774999999999996</v>
      </c>
      <c r="H396">
        <v>0</v>
      </c>
      <c r="O396">
        <v>0.59</v>
      </c>
      <c r="Q396">
        <v>0</v>
      </c>
      <c r="R396">
        <v>5361.4</v>
      </c>
      <c r="S396">
        <v>10.221</v>
      </c>
      <c r="T396">
        <v>23.74</v>
      </c>
      <c r="W396" t="s">
        <v>54</v>
      </c>
      <c r="X396" t="s">
        <v>55</v>
      </c>
      <c r="Y396" t="s">
        <v>59</v>
      </c>
      <c r="Z396">
        <v>0.1</v>
      </c>
      <c r="AA396">
        <v>0.25600000000000001</v>
      </c>
      <c r="AB396">
        <v>120</v>
      </c>
      <c r="AC396">
        <v>80</v>
      </c>
      <c r="AD396">
        <v>55.491540000000001</v>
      </c>
      <c r="AE396">
        <v>-77.046499999999995</v>
      </c>
      <c r="AF396">
        <v>-12.0931</v>
      </c>
      <c r="AG396" t="s">
        <v>57</v>
      </c>
      <c r="AH396" t="s">
        <v>58</v>
      </c>
      <c r="AI396">
        <v>3002.3960000000002</v>
      </c>
      <c r="AJ396">
        <v>12.30837</v>
      </c>
      <c r="AK396">
        <v>71600000000</v>
      </c>
      <c r="AL396">
        <v>13.28356</v>
      </c>
      <c r="AM396">
        <v>55.491540000000001</v>
      </c>
      <c r="AN396">
        <v>-6.0185829999999996</v>
      </c>
      <c r="AO396">
        <v>71.772059999999996</v>
      </c>
      <c r="AP396">
        <v>28.922999999999998</v>
      </c>
      <c r="AQ396">
        <v>7.3285080000000002</v>
      </c>
      <c r="AR396">
        <v>8.7970059999999997</v>
      </c>
      <c r="AS396">
        <v>7.0647890000000002</v>
      </c>
      <c r="AT396">
        <v>3.1671610000000001</v>
      </c>
      <c r="AU396">
        <v>0.34810000000000002</v>
      </c>
      <c r="AV396">
        <v>3.1671610000000001</v>
      </c>
      <c r="AW396">
        <v>24.994520000000001</v>
      </c>
      <c r="AX396">
        <v>24.84</v>
      </c>
      <c r="AY396">
        <v>3.0919485469271102</v>
      </c>
      <c r="AZ396" s="1">
        <v>0.61849999427795399</v>
      </c>
      <c r="BA396" s="1">
        <v>0.12749999761581399</v>
      </c>
      <c r="BB396" s="1">
        <v>0.74599999189376798</v>
      </c>
      <c r="BC396" s="1">
        <v>3.0018760000000002</v>
      </c>
      <c r="BD396" s="2">
        <v>28.922995769890001</v>
      </c>
      <c r="BE396" s="2">
        <f t="shared" si="12"/>
        <v>0.14742877907000107</v>
      </c>
      <c r="BF396" s="2">
        <f t="shared" si="13"/>
        <v>0.51234013605026063</v>
      </c>
      <c r="BG396">
        <v>6134</v>
      </c>
      <c r="BH396" s="3">
        <v>2402</v>
      </c>
      <c r="BI396">
        <v>64.362272240085744</v>
      </c>
      <c r="BJ396" s="3">
        <v>3723</v>
      </c>
      <c r="BK396">
        <v>1385</v>
      </c>
      <c r="BL396">
        <v>59.238665526090678</v>
      </c>
      <c r="BM396" s="3">
        <v>3289.1867000000002</v>
      </c>
      <c r="BN396">
        <v>2528.5978000000005</v>
      </c>
      <c r="BO396">
        <v>332.45262979777914</v>
      </c>
      <c r="BP396">
        <v>12511807355.7547</v>
      </c>
      <c r="BQ396">
        <v>3353396506.5175705</v>
      </c>
      <c r="BR396">
        <v>36.61548451712995</v>
      </c>
      <c r="BS396">
        <v>0.81136750000000002</v>
      </c>
      <c r="BT396">
        <v>1.1678809999999999</v>
      </c>
      <c r="BU396">
        <v>4.3891988360446996</v>
      </c>
    </row>
    <row r="397" spans="1:73" x14ac:dyDescent="0.2">
      <c r="A397">
        <v>339</v>
      </c>
      <c r="B397" t="s">
        <v>94</v>
      </c>
      <c r="C397">
        <v>1995</v>
      </c>
      <c r="D397">
        <v>15</v>
      </c>
      <c r="E397">
        <v>1</v>
      </c>
      <c r="F397" t="s">
        <v>95</v>
      </c>
      <c r="G397">
        <v>0.79774999999999996</v>
      </c>
      <c r="H397">
        <v>0</v>
      </c>
      <c r="I397">
        <v>0.19900000000000001</v>
      </c>
      <c r="J397">
        <v>0.20599999999999999</v>
      </c>
      <c r="K397">
        <v>0.99199999999999999</v>
      </c>
      <c r="L397">
        <v>1.01</v>
      </c>
      <c r="M397">
        <v>0.30499999999999999</v>
      </c>
      <c r="N397">
        <v>0.316</v>
      </c>
      <c r="O397">
        <v>0.59</v>
      </c>
      <c r="P397">
        <v>3.883</v>
      </c>
      <c r="Q397">
        <v>1</v>
      </c>
      <c r="R397">
        <v>5668</v>
      </c>
      <c r="S397">
        <v>5.4320000000000004</v>
      </c>
      <c r="T397">
        <v>11.13</v>
      </c>
      <c r="W397" t="s">
        <v>54</v>
      </c>
      <c r="X397" t="s">
        <v>55</v>
      </c>
      <c r="Y397" t="s">
        <v>59</v>
      </c>
      <c r="Z397">
        <v>0.13300000000000001</v>
      </c>
      <c r="AA397">
        <v>0.36199999999999999</v>
      </c>
      <c r="AB397">
        <v>120</v>
      </c>
      <c r="AC397">
        <v>80</v>
      </c>
      <c r="AE397">
        <v>-77.046499999999995</v>
      </c>
      <c r="AF397">
        <v>-12.0931</v>
      </c>
      <c r="AG397" t="s">
        <v>57</v>
      </c>
      <c r="AH397" t="s">
        <v>58</v>
      </c>
      <c r="AI397">
        <v>3165.49</v>
      </c>
      <c r="AJ397">
        <v>7.4113949999999997</v>
      </c>
      <c r="AK397">
        <v>76900000000</v>
      </c>
      <c r="AL397">
        <v>15.87388</v>
      </c>
      <c r="AN397">
        <v>-8.674353</v>
      </c>
      <c r="AO397">
        <v>70.750020000000006</v>
      </c>
      <c r="AP397">
        <v>30.927219999999998</v>
      </c>
      <c r="AQ397">
        <v>4.7961869999999998</v>
      </c>
      <c r="AR397">
        <v>9.8783499999999993</v>
      </c>
      <c r="AS397">
        <v>4.8969709999999997</v>
      </c>
      <c r="AT397">
        <v>2.4096440000000001</v>
      </c>
      <c r="AU397">
        <v>0.34810000000000002</v>
      </c>
      <c r="AV397">
        <v>2.4096440000000001</v>
      </c>
      <c r="AW397">
        <v>25.066020000000002</v>
      </c>
      <c r="AX397">
        <v>12.61</v>
      </c>
      <c r="AY397">
        <v>3.0919485469271102</v>
      </c>
      <c r="AZ397" s="1">
        <v>0.82950001955032404</v>
      </c>
      <c r="BA397" s="1">
        <v>9.2000000178813907E-2</v>
      </c>
      <c r="BB397" s="1">
        <v>0.92150002717971802</v>
      </c>
      <c r="BC397" s="1">
        <v>2.9102668999999999</v>
      </c>
      <c r="BD397" s="2">
        <v>30.927217847550999</v>
      </c>
      <c r="BE397" s="2">
        <f t="shared" si="12"/>
        <v>2.004222077660998</v>
      </c>
      <c r="BF397" s="2">
        <f t="shared" si="13"/>
        <v>6.9295106689725188</v>
      </c>
      <c r="BG397">
        <v>7882</v>
      </c>
      <c r="BH397" s="3">
        <v>1748</v>
      </c>
      <c r="BI397">
        <v>28.496902510596673</v>
      </c>
      <c r="BJ397" s="3">
        <v>4595</v>
      </c>
      <c r="BK397">
        <v>872</v>
      </c>
      <c r="BL397">
        <v>23.421971528337362</v>
      </c>
      <c r="BM397" s="3">
        <v>2548.9814999999999</v>
      </c>
      <c r="BN397">
        <v>740.20520000000033</v>
      </c>
      <c r="BO397">
        <v>22.504201418545208</v>
      </c>
      <c r="BP397">
        <v>15185164280.386499</v>
      </c>
      <c r="BQ397">
        <v>2673356924.6317997</v>
      </c>
      <c r="BR397">
        <v>21.366672684599894</v>
      </c>
      <c r="BS397">
        <v>1.081345</v>
      </c>
      <c r="BT397">
        <v>1.0418160000000001</v>
      </c>
      <c r="BU397">
        <v>3.34738275173008</v>
      </c>
    </row>
    <row r="398" spans="1:73" x14ac:dyDescent="0.2">
      <c r="A398">
        <v>340</v>
      </c>
      <c r="B398" t="s">
        <v>94</v>
      </c>
      <c r="C398">
        <v>1996</v>
      </c>
      <c r="D398">
        <v>15</v>
      </c>
      <c r="E398">
        <v>0</v>
      </c>
      <c r="F398" t="s">
        <v>95</v>
      </c>
      <c r="G398">
        <v>0.79774999999999996</v>
      </c>
      <c r="H398">
        <v>0</v>
      </c>
      <c r="I398">
        <v>0.19900000000000001</v>
      </c>
      <c r="J398">
        <v>0.20599999999999999</v>
      </c>
      <c r="K398">
        <v>0.99199999999999999</v>
      </c>
      <c r="L398">
        <v>1.01</v>
      </c>
      <c r="M398">
        <v>0.30499999999999999</v>
      </c>
      <c r="N398">
        <v>0.316</v>
      </c>
      <c r="O398">
        <v>0.59</v>
      </c>
      <c r="P398">
        <v>3.8220000000000001</v>
      </c>
      <c r="Q398">
        <v>0</v>
      </c>
      <c r="R398">
        <v>5739.8</v>
      </c>
      <c r="S398">
        <v>0.91100000000000003</v>
      </c>
      <c r="T398">
        <v>11.54</v>
      </c>
      <c r="U398">
        <v>7.07</v>
      </c>
      <c r="W398" t="s">
        <v>54</v>
      </c>
      <c r="X398" t="s">
        <v>55</v>
      </c>
      <c r="Y398" t="s">
        <v>59</v>
      </c>
      <c r="Z398">
        <v>0.13900000000000001</v>
      </c>
      <c r="AA398">
        <v>0.377</v>
      </c>
      <c r="AB398">
        <v>120</v>
      </c>
      <c r="AC398">
        <v>118</v>
      </c>
      <c r="AE398">
        <v>-77.046499999999995</v>
      </c>
      <c r="AF398">
        <v>-12.0931</v>
      </c>
      <c r="AG398" t="s">
        <v>57</v>
      </c>
      <c r="AH398" t="s">
        <v>58</v>
      </c>
      <c r="AI398">
        <v>3194.3229999999999</v>
      </c>
      <c r="AJ398">
        <v>2.7989730000000002</v>
      </c>
      <c r="AK398">
        <v>79100000000</v>
      </c>
      <c r="AL398">
        <v>21.025320000000001</v>
      </c>
      <c r="AN398">
        <v>-6.5949679999999997</v>
      </c>
      <c r="AO398">
        <v>69.614530000000002</v>
      </c>
      <c r="AP398">
        <v>31.654199999999999</v>
      </c>
      <c r="AQ398">
        <v>6.2823479999999998</v>
      </c>
      <c r="AR398">
        <v>10.35942</v>
      </c>
      <c r="AS398">
        <v>4.6124219999999996</v>
      </c>
      <c r="AT398">
        <v>2.4458190000000002</v>
      </c>
      <c r="AU398">
        <v>0.34810000000000002</v>
      </c>
      <c r="AV398">
        <v>2.4458190000000002</v>
      </c>
      <c r="AW398">
        <v>25.093620000000001</v>
      </c>
      <c r="AX398">
        <v>0.40999980000000003</v>
      </c>
      <c r="AY398">
        <v>3.0919485469271102</v>
      </c>
      <c r="AZ398" s="1">
        <v>0.82950001955032404</v>
      </c>
      <c r="BA398" s="1">
        <v>9.2000000178813907E-2</v>
      </c>
      <c r="BB398" s="1">
        <v>0.92150002717971802</v>
      </c>
      <c r="BC398" s="1">
        <v>2.9102668999999999</v>
      </c>
      <c r="BD398" s="2">
        <v>31.654204091263999</v>
      </c>
      <c r="BE398" s="2">
        <f t="shared" si="12"/>
        <v>0.72698624371300014</v>
      </c>
      <c r="BF398" s="2">
        <f t="shared" si="13"/>
        <v>2.3506357645764351</v>
      </c>
      <c r="BG398">
        <v>9593</v>
      </c>
      <c r="BH398" s="3">
        <v>1711</v>
      </c>
      <c r="BI398">
        <v>21.707688403958386</v>
      </c>
      <c r="BJ398" s="3">
        <v>5409</v>
      </c>
      <c r="BK398">
        <v>814</v>
      </c>
      <c r="BL398">
        <v>17.714907508161044</v>
      </c>
      <c r="BM398" s="3">
        <v>3488.1590000000001</v>
      </c>
      <c r="BN398">
        <v>939.17750000000024</v>
      </c>
      <c r="BO398">
        <v>36.845206605069528</v>
      </c>
      <c r="BP398">
        <v>14753722647.429399</v>
      </c>
      <c r="BQ398">
        <v>431441632.95709991</v>
      </c>
      <c r="BR398">
        <v>2.8412049088883395</v>
      </c>
      <c r="BS398">
        <v>0.48107339999999998</v>
      </c>
      <c r="BT398">
        <v>0.14584040000000001</v>
      </c>
      <c r="BU398">
        <v>3.4932232012033899</v>
      </c>
    </row>
    <row r="399" spans="1:73" x14ac:dyDescent="0.2">
      <c r="A399">
        <v>341</v>
      </c>
      <c r="B399" t="s">
        <v>94</v>
      </c>
      <c r="C399">
        <v>1997</v>
      </c>
      <c r="D399">
        <v>15</v>
      </c>
      <c r="E399">
        <v>0</v>
      </c>
      <c r="F399" t="s">
        <v>95</v>
      </c>
      <c r="G399">
        <v>0.79774999999999996</v>
      </c>
      <c r="H399">
        <v>0</v>
      </c>
      <c r="I399">
        <v>0.19900000000000001</v>
      </c>
      <c r="J399">
        <v>0.20599999999999999</v>
      </c>
      <c r="K399">
        <v>0.99199999999999999</v>
      </c>
      <c r="L399">
        <v>1.01</v>
      </c>
      <c r="M399">
        <v>0.30499999999999999</v>
      </c>
      <c r="N399">
        <v>0.316</v>
      </c>
      <c r="O399">
        <v>0.59</v>
      </c>
      <c r="P399">
        <v>3.9550000000000001</v>
      </c>
      <c r="Q399">
        <v>0</v>
      </c>
      <c r="R399">
        <v>6027.8</v>
      </c>
      <c r="S399">
        <v>4.5460000000000003</v>
      </c>
      <c r="T399">
        <v>8.56</v>
      </c>
      <c r="U399">
        <v>7.69</v>
      </c>
      <c r="V399">
        <v>53.3</v>
      </c>
      <c r="W399" t="s">
        <v>54</v>
      </c>
      <c r="X399" t="s">
        <v>55</v>
      </c>
      <c r="Y399" t="s">
        <v>59</v>
      </c>
      <c r="Z399">
        <v>0.13600000000000001</v>
      </c>
      <c r="AA399">
        <v>0.377</v>
      </c>
      <c r="AB399">
        <v>120</v>
      </c>
      <c r="AC399">
        <v>118</v>
      </c>
      <c r="AE399">
        <v>-77.046499999999995</v>
      </c>
      <c r="AF399">
        <v>-12.0931</v>
      </c>
      <c r="AG399" t="s">
        <v>57</v>
      </c>
      <c r="AH399" t="s">
        <v>58</v>
      </c>
      <c r="AI399">
        <v>3339.5419999999999</v>
      </c>
      <c r="AJ399">
        <v>6.4768239999999997</v>
      </c>
      <c r="AK399">
        <v>84200000000</v>
      </c>
      <c r="AL399">
        <v>24.409800000000001</v>
      </c>
      <c r="AN399">
        <v>-5.7922399999999996</v>
      </c>
      <c r="AO399">
        <v>68.448869999999999</v>
      </c>
      <c r="AP399">
        <v>33.469549999999998</v>
      </c>
      <c r="AQ399">
        <v>3.6790219999999998</v>
      </c>
      <c r="AR399">
        <v>10.238530000000001</v>
      </c>
      <c r="AS399">
        <v>3.677851</v>
      </c>
      <c r="AT399">
        <v>2.1471</v>
      </c>
      <c r="AU399">
        <v>0.34810000000000002</v>
      </c>
      <c r="AV399">
        <v>2.1471</v>
      </c>
      <c r="AW399">
        <v>25.156379999999999</v>
      </c>
      <c r="AX399">
        <v>2.98</v>
      </c>
      <c r="AY399">
        <v>3.0919485469271102</v>
      </c>
      <c r="AZ399" s="1">
        <v>0.82950001955032404</v>
      </c>
      <c r="BA399" s="1">
        <v>9.2000000178813907E-2</v>
      </c>
      <c r="BB399" s="1">
        <v>0.92150002717971802</v>
      </c>
      <c r="BC399" s="1">
        <v>2.9102668999999999</v>
      </c>
      <c r="BD399" s="2">
        <v>33.469545850682998</v>
      </c>
      <c r="BE399" s="2">
        <f t="shared" si="12"/>
        <v>1.8153417594189989</v>
      </c>
      <c r="BF399" s="2">
        <f t="shared" si="13"/>
        <v>5.7349151922603578</v>
      </c>
      <c r="BG399">
        <v>11920</v>
      </c>
      <c r="BH399" s="3">
        <v>2327</v>
      </c>
      <c r="BI399">
        <v>24.2572709267174</v>
      </c>
      <c r="BJ399" s="3">
        <v>6464</v>
      </c>
      <c r="BK399">
        <v>1055</v>
      </c>
      <c r="BL399">
        <v>19.504529487890554</v>
      </c>
      <c r="BM399" s="3">
        <v>2054.2600000000002</v>
      </c>
      <c r="BN399">
        <v>1433.8989999999999</v>
      </c>
      <c r="BO399">
        <v>41.107615793890126</v>
      </c>
      <c r="BP399">
        <v>17004296889.8529</v>
      </c>
      <c r="BQ399">
        <v>2250574242.4235001</v>
      </c>
      <c r="BR399">
        <v>15.25428053790632</v>
      </c>
      <c r="BS399">
        <v>0.1208906</v>
      </c>
      <c r="BT399">
        <v>3.7685689999999998</v>
      </c>
      <c r="BU399">
        <v>-0.27534615557986802</v>
      </c>
    </row>
    <row r="400" spans="1:73" x14ac:dyDescent="0.2">
      <c r="A400">
        <v>342</v>
      </c>
      <c r="B400" t="s">
        <v>94</v>
      </c>
      <c r="C400">
        <v>1998</v>
      </c>
      <c r="D400">
        <v>15</v>
      </c>
      <c r="E400">
        <v>0</v>
      </c>
      <c r="F400" t="s">
        <v>95</v>
      </c>
      <c r="G400">
        <v>0.79774999999999996</v>
      </c>
      <c r="H400">
        <v>0</v>
      </c>
      <c r="I400">
        <v>0.19900000000000001</v>
      </c>
      <c r="J400">
        <v>0.20599999999999999</v>
      </c>
      <c r="K400">
        <v>0.99199999999999999</v>
      </c>
      <c r="L400">
        <v>1.01</v>
      </c>
      <c r="M400">
        <v>0.30499999999999999</v>
      </c>
      <c r="N400">
        <v>0.316</v>
      </c>
      <c r="O400">
        <v>0.59</v>
      </c>
      <c r="P400">
        <v>4.4889999999999999</v>
      </c>
      <c r="Q400">
        <v>0</v>
      </c>
      <c r="R400">
        <v>5926.7</v>
      </c>
      <c r="S400">
        <v>-2.1269999999999998</v>
      </c>
      <c r="T400">
        <v>7.25</v>
      </c>
      <c r="U400">
        <v>7.75</v>
      </c>
      <c r="V400">
        <v>55.1</v>
      </c>
      <c r="W400" t="s">
        <v>54</v>
      </c>
      <c r="X400" t="s">
        <v>55</v>
      </c>
      <c r="Y400" t="s">
        <v>59</v>
      </c>
      <c r="Z400">
        <v>0.129</v>
      </c>
      <c r="AA400">
        <v>0.36499999999999999</v>
      </c>
      <c r="AB400">
        <v>120</v>
      </c>
      <c r="AC400">
        <v>118</v>
      </c>
      <c r="AE400">
        <v>-77.046499999999995</v>
      </c>
      <c r="AF400">
        <v>-12.0931</v>
      </c>
      <c r="AG400" t="s">
        <v>57</v>
      </c>
      <c r="AH400" t="s">
        <v>58</v>
      </c>
      <c r="AI400">
        <v>3268.5</v>
      </c>
      <c r="AJ400">
        <v>-0.39153749999999998</v>
      </c>
      <c r="AK400">
        <v>83900000000</v>
      </c>
      <c r="AL400">
        <v>28.191050000000001</v>
      </c>
      <c r="AN400">
        <v>-6.0105969999999997</v>
      </c>
      <c r="AO400">
        <v>67.252650000000003</v>
      </c>
      <c r="AP400">
        <v>32.953020000000002</v>
      </c>
      <c r="AQ400">
        <v>2.961992</v>
      </c>
      <c r="AR400">
        <v>10.98127</v>
      </c>
      <c r="AS400">
        <v>6.8683620000000003</v>
      </c>
      <c r="AT400">
        <v>1.981001</v>
      </c>
      <c r="AU400">
        <v>0.34810000000000002</v>
      </c>
      <c r="AV400">
        <v>1.981001</v>
      </c>
      <c r="AW400">
        <v>25.152450000000002</v>
      </c>
      <c r="AX400">
        <v>1.31</v>
      </c>
      <c r="AY400">
        <v>3.0919485469271102</v>
      </c>
      <c r="AZ400" s="1">
        <v>0.82950001955032404</v>
      </c>
      <c r="BA400" s="1">
        <v>9.2000000178813907E-2</v>
      </c>
      <c r="BB400" s="1">
        <v>0.92150002717971802</v>
      </c>
      <c r="BC400" s="1">
        <v>2.9102668999999999</v>
      </c>
      <c r="BD400" s="2">
        <v>32.953021785394</v>
      </c>
      <c r="BE400" s="2">
        <f t="shared" si="12"/>
        <v>0.51652406528899775</v>
      </c>
      <c r="BF400" s="2">
        <f t="shared" si="13"/>
        <v>1.5432658321488915</v>
      </c>
      <c r="BG400">
        <v>11566</v>
      </c>
      <c r="BH400" s="3">
        <v>354</v>
      </c>
      <c r="BI400">
        <v>2.9697986577181208</v>
      </c>
      <c r="BJ400" s="3">
        <v>6482</v>
      </c>
      <c r="BK400">
        <v>18</v>
      </c>
      <c r="BL400">
        <v>0.27846534653465349</v>
      </c>
      <c r="BM400" s="3">
        <v>1581.9075</v>
      </c>
      <c r="BN400">
        <v>472.35250000000019</v>
      </c>
      <c r="BO400">
        <v>22.993803121318635</v>
      </c>
      <c r="BP400">
        <v>16804011594.2742</v>
      </c>
      <c r="BQ400">
        <v>200285295.57869911</v>
      </c>
      <c r="BR400">
        <v>1.1778510859700224</v>
      </c>
      <c r="BS400">
        <v>0.74273199999999995</v>
      </c>
      <c r="BT400">
        <v>2.4020009999999998</v>
      </c>
      <c r="BU400">
        <v>2.1266547752204299</v>
      </c>
    </row>
    <row r="401" spans="1:73" x14ac:dyDescent="0.2">
      <c r="A401">
        <v>343</v>
      </c>
      <c r="B401" t="s">
        <v>94</v>
      </c>
      <c r="C401">
        <v>1999</v>
      </c>
      <c r="D401">
        <v>15</v>
      </c>
      <c r="E401">
        <v>0</v>
      </c>
      <c r="F401" t="s">
        <v>95</v>
      </c>
      <c r="G401">
        <v>0.79774999999999996</v>
      </c>
      <c r="H401">
        <v>0</v>
      </c>
      <c r="I401">
        <v>0.19900000000000001</v>
      </c>
      <c r="J401">
        <v>0.20599999999999999</v>
      </c>
      <c r="K401">
        <v>0.99199999999999999</v>
      </c>
      <c r="L401">
        <v>1.01</v>
      </c>
      <c r="M401">
        <v>0.30499999999999999</v>
      </c>
      <c r="N401">
        <v>0.316</v>
      </c>
      <c r="O401">
        <v>0.59</v>
      </c>
      <c r="P401">
        <v>4.4889999999999999</v>
      </c>
      <c r="Q401">
        <v>0</v>
      </c>
      <c r="R401">
        <v>5945.2</v>
      </c>
      <c r="S401">
        <v>-0.14099999999999999</v>
      </c>
      <c r="T401">
        <v>3.47</v>
      </c>
      <c r="U401">
        <v>7.99</v>
      </c>
      <c r="V401">
        <v>54.8</v>
      </c>
      <c r="W401" t="s">
        <v>54</v>
      </c>
      <c r="X401" t="s">
        <v>55</v>
      </c>
      <c r="Y401" t="s">
        <v>59</v>
      </c>
      <c r="Z401">
        <v>0.129</v>
      </c>
      <c r="AA401">
        <v>0.36499999999999999</v>
      </c>
      <c r="AB401">
        <v>120</v>
      </c>
      <c r="AC401">
        <v>118</v>
      </c>
      <c r="AE401">
        <v>-77.046499999999995</v>
      </c>
      <c r="AF401">
        <v>-12.0931</v>
      </c>
      <c r="AG401" t="s">
        <v>57</v>
      </c>
      <c r="AH401" t="s">
        <v>58</v>
      </c>
      <c r="AI401">
        <v>3263.9050000000002</v>
      </c>
      <c r="AJ401">
        <v>1.4949110000000001</v>
      </c>
      <c r="AK401">
        <v>85100000000</v>
      </c>
      <c r="AL401">
        <v>28.977329999999998</v>
      </c>
      <c r="AN401">
        <v>-2.7495250000000002</v>
      </c>
      <c r="AO401">
        <v>66.019869999999997</v>
      </c>
      <c r="AP401">
        <v>33.205779999999997</v>
      </c>
      <c r="AQ401">
        <v>3.8655349999999999</v>
      </c>
      <c r="AR401">
        <v>11.54899</v>
      </c>
      <c r="AS401">
        <v>1.8864479999999999</v>
      </c>
      <c r="AT401">
        <v>1.2441549999999999</v>
      </c>
      <c r="AU401">
        <v>0.34810000000000002</v>
      </c>
      <c r="AV401">
        <v>1.2441549999999999</v>
      </c>
      <c r="AW401">
        <v>25.167290000000001</v>
      </c>
      <c r="AX401">
        <v>3.78</v>
      </c>
      <c r="AY401">
        <v>3.0919485469271102</v>
      </c>
      <c r="AZ401" s="1">
        <v>0.82950001955032404</v>
      </c>
      <c r="BA401" s="1">
        <v>9.2000000178813907E-2</v>
      </c>
      <c r="BB401" s="1">
        <v>0.92150002717971802</v>
      </c>
      <c r="BC401" s="1">
        <v>2.9102668999999999</v>
      </c>
      <c r="BD401" s="2">
        <v>33.205776555848999</v>
      </c>
      <c r="BE401" s="2">
        <f t="shared" si="12"/>
        <v>0.25275477045499883</v>
      </c>
      <c r="BF401" s="2">
        <f t="shared" si="13"/>
        <v>0.76701545643085489</v>
      </c>
      <c r="BG401">
        <v>12564</v>
      </c>
      <c r="BH401" s="3">
        <v>998</v>
      </c>
      <c r="BI401">
        <v>8.6287394086114482</v>
      </c>
      <c r="BJ401" s="3">
        <v>7311</v>
      </c>
      <c r="BK401">
        <v>829</v>
      </c>
      <c r="BL401">
        <v>12.789262573279851</v>
      </c>
      <c r="BM401" s="3">
        <v>1812.0088000000001</v>
      </c>
      <c r="BN401">
        <v>230.10130000000004</v>
      </c>
      <c r="BO401">
        <v>14.54581257121545</v>
      </c>
      <c r="BP401">
        <v>14946101944.4984</v>
      </c>
      <c r="BQ401">
        <v>1857909649.7758007</v>
      </c>
      <c r="BR401">
        <v>11.05634591688133</v>
      </c>
      <c r="BS401">
        <v>0.56772520000000004</v>
      </c>
      <c r="BT401">
        <v>0.38578560000000001</v>
      </c>
      <c r="BU401">
        <v>1.74086927695029</v>
      </c>
    </row>
    <row r="402" spans="1:73" x14ac:dyDescent="0.2">
      <c r="A402">
        <v>344</v>
      </c>
      <c r="B402" t="s">
        <v>94</v>
      </c>
      <c r="C402">
        <v>2000</v>
      </c>
      <c r="D402">
        <v>15</v>
      </c>
      <c r="E402">
        <v>0</v>
      </c>
      <c r="F402" t="s">
        <v>95</v>
      </c>
      <c r="G402">
        <v>0.79774999999999996</v>
      </c>
      <c r="H402">
        <v>0</v>
      </c>
      <c r="O402">
        <v>1.431</v>
      </c>
      <c r="P402">
        <v>3.9889999999999999</v>
      </c>
      <c r="Q402">
        <v>1</v>
      </c>
      <c r="R402">
        <v>6038.2</v>
      </c>
      <c r="S402">
        <v>1.2130000000000001</v>
      </c>
      <c r="T402">
        <v>3.76</v>
      </c>
      <c r="U402">
        <v>7.8</v>
      </c>
      <c r="V402">
        <v>49.1</v>
      </c>
      <c r="W402" t="s">
        <v>54</v>
      </c>
      <c r="X402" t="s">
        <v>55</v>
      </c>
      <c r="Y402" t="s">
        <v>59</v>
      </c>
      <c r="Z402">
        <v>0.19600000000000001</v>
      </c>
      <c r="AA402">
        <v>0.432</v>
      </c>
      <c r="AB402">
        <v>120</v>
      </c>
      <c r="AC402">
        <v>118</v>
      </c>
      <c r="AE402">
        <v>-77.046499999999995</v>
      </c>
      <c r="AF402">
        <v>-12.0931</v>
      </c>
      <c r="AG402" t="s">
        <v>57</v>
      </c>
      <c r="AH402" t="s">
        <v>58</v>
      </c>
      <c r="AI402">
        <v>3303.5010000000002</v>
      </c>
      <c r="AJ402">
        <v>2.6943709999999998</v>
      </c>
      <c r="AK402">
        <v>87400000000</v>
      </c>
      <c r="AL402">
        <v>26.34168</v>
      </c>
      <c r="AN402">
        <v>-2.9874109999999998</v>
      </c>
      <c r="AO402">
        <v>64.750630000000001</v>
      </c>
      <c r="AP402">
        <v>35.538029999999999</v>
      </c>
      <c r="AQ402">
        <v>1.5647899999999999</v>
      </c>
      <c r="AR402">
        <v>11.45063</v>
      </c>
      <c r="AS402">
        <v>1.1994610000000001</v>
      </c>
      <c r="AT402">
        <v>1.324419</v>
      </c>
      <c r="AU402">
        <v>2.0477609999999999</v>
      </c>
      <c r="AV402">
        <v>1.324419</v>
      </c>
      <c r="AW402">
        <v>25.19388</v>
      </c>
      <c r="AX402">
        <v>0.28999999999999998</v>
      </c>
      <c r="AY402">
        <v>3.7597268540574902</v>
      </c>
      <c r="AZ402" s="1">
        <v>0.74950003623962402</v>
      </c>
      <c r="BA402" s="1">
        <v>8.5000000894069699E-2</v>
      </c>
      <c r="BB402" s="1">
        <v>0.83450001478195202</v>
      </c>
      <c r="BC402" s="1">
        <v>3.9691288</v>
      </c>
      <c r="BD402" s="2">
        <v>35.538032162317997</v>
      </c>
      <c r="BE402" s="2">
        <f t="shared" si="12"/>
        <v>2.3322556064689977</v>
      </c>
      <c r="BF402" s="2">
        <f t="shared" si="13"/>
        <v>7.0236442221020265</v>
      </c>
      <c r="BG402">
        <v>12720</v>
      </c>
      <c r="BH402" s="3">
        <v>156</v>
      </c>
      <c r="BI402">
        <v>1.241642788920726</v>
      </c>
      <c r="BJ402" s="3">
        <v>7087</v>
      </c>
      <c r="BK402">
        <v>224</v>
      </c>
      <c r="BL402">
        <v>3.063876350704418</v>
      </c>
      <c r="BM402" s="3">
        <v>809.69669999999996</v>
      </c>
      <c r="BN402">
        <v>1002.3121000000001</v>
      </c>
      <c r="BO402">
        <v>55.314968669026335</v>
      </c>
      <c r="BP402">
        <v>14175831803.9835</v>
      </c>
      <c r="BQ402">
        <v>770270140.51490021</v>
      </c>
      <c r="BR402">
        <v>5.1536523929467348</v>
      </c>
      <c r="BS402">
        <v>9.8362900000000003E-2</v>
      </c>
      <c r="BT402">
        <v>0.40157350000000003</v>
      </c>
      <c r="BU402">
        <v>1.3392957556187399</v>
      </c>
    </row>
    <row r="403" spans="1:73" x14ac:dyDescent="0.2">
      <c r="A403">
        <v>345</v>
      </c>
      <c r="B403" t="s">
        <v>94</v>
      </c>
      <c r="C403">
        <v>2001</v>
      </c>
      <c r="D403">
        <v>15</v>
      </c>
      <c r="E403">
        <v>1</v>
      </c>
      <c r="F403" t="s">
        <v>95</v>
      </c>
      <c r="G403">
        <v>0.79774999999999996</v>
      </c>
      <c r="H403">
        <v>1</v>
      </c>
      <c r="I403">
        <v>0.20699999999999999</v>
      </c>
      <c r="J403">
        <v>0.35399999999999998</v>
      </c>
      <c r="K403">
        <v>1.0109999999999999</v>
      </c>
      <c r="L403">
        <v>1.3220000000000001</v>
      </c>
      <c r="M403">
        <v>0.33600000000000002</v>
      </c>
      <c r="N403">
        <v>0.497</v>
      </c>
      <c r="O403">
        <v>-0.32500000000000001</v>
      </c>
      <c r="P403">
        <v>4.0960000000000001</v>
      </c>
      <c r="Q403">
        <v>1</v>
      </c>
      <c r="R403">
        <v>6010.2</v>
      </c>
      <c r="S403">
        <v>-0.65600000000000003</v>
      </c>
      <c r="T403">
        <v>1.98</v>
      </c>
      <c r="U403">
        <v>7.88</v>
      </c>
      <c r="V403">
        <v>51.3</v>
      </c>
      <c r="W403" t="s">
        <v>54</v>
      </c>
      <c r="X403" t="s">
        <v>55</v>
      </c>
      <c r="Y403" t="s">
        <v>59</v>
      </c>
      <c r="Z403">
        <v>0.44</v>
      </c>
      <c r="AA403">
        <v>0.69599999999999995</v>
      </c>
      <c r="AB403">
        <v>120</v>
      </c>
      <c r="AC403">
        <v>4.8</v>
      </c>
      <c r="AE403">
        <v>-77.046499999999995</v>
      </c>
      <c r="AF403">
        <v>-12.0931</v>
      </c>
      <c r="AG403" t="s">
        <v>57</v>
      </c>
      <c r="AH403" t="s">
        <v>58</v>
      </c>
      <c r="AI403">
        <v>3281.8240000000001</v>
      </c>
      <c r="AJ403">
        <v>0.61789229999999995</v>
      </c>
      <c r="AK403">
        <v>88000000000</v>
      </c>
      <c r="AL403">
        <v>23.44781</v>
      </c>
      <c r="AN403">
        <v>-2.3117580000000002</v>
      </c>
      <c r="AO403">
        <v>63.680109999999999</v>
      </c>
      <c r="AP403">
        <v>35.064399999999999</v>
      </c>
      <c r="AQ403">
        <v>2.1992240000000001</v>
      </c>
      <c r="AR403">
        <v>11.717169999999999</v>
      </c>
      <c r="AS403">
        <v>2.076479</v>
      </c>
      <c r="AT403">
        <v>0.68309679999999995</v>
      </c>
      <c r="AU403">
        <v>0.105625</v>
      </c>
      <c r="AV403">
        <v>0.68309679999999995</v>
      </c>
      <c r="AW403">
        <v>25.200040000000001</v>
      </c>
      <c r="AX403">
        <v>1.78</v>
      </c>
      <c r="AY403">
        <v>2.36541210100048</v>
      </c>
      <c r="AZ403" s="1">
        <v>0.38300001621246299</v>
      </c>
      <c r="BA403" s="1">
        <v>0.12900000810623199</v>
      </c>
      <c r="BB403" s="1">
        <v>0.51200002431869496</v>
      </c>
      <c r="BC403" s="1">
        <v>4.519774</v>
      </c>
      <c r="BD403" s="2">
        <v>35.064401431020997</v>
      </c>
      <c r="BE403" s="2">
        <f t="shared" si="12"/>
        <v>0.47363073129699984</v>
      </c>
      <c r="BF403" s="2">
        <f t="shared" si="13"/>
        <v>1.3327432682083173</v>
      </c>
      <c r="BG403">
        <v>13462</v>
      </c>
      <c r="BH403" s="3">
        <v>742</v>
      </c>
      <c r="BI403">
        <v>5.833333333333333</v>
      </c>
      <c r="BJ403" s="3">
        <v>7489</v>
      </c>
      <c r="BK403">
        <v>402</v>
      </c>
      <c r="BL403">
        <v>5.6723578382954702</v>
      </c>
      <c r="BM403" s="3">
        <v>1069.8599999999999</v>
      </c>
      <c r="BN403">
        <v>260.16329999999994</v>
      </c>
      <c r="BO403">
        <v>32.130957184338278</v>
      </c>
      <c r="BP403">
        <v>13026826687.242701</v>
      </c>
      <c r="BQ403">
        <v>1149005116.740799</v>
      </c>
      <c r="BR403">
        <v>8.1053805704573971</v>
      </c>
      <c r="BS403">
        <v>0.26654339999999999</v>
      </c>
      <c r="BT403">
        <v>0.95158240000000005</v>
      </c>
      <c r="BU403">
        <v>0.38771334688279102</v>
      </c>
    </row>
    <row r="404" spans="1:73" x14ac:dyDescent="0.2">
      <c r="A404">
        <v>346</v>
      </c>
      <c r="B404" t="s">
        <v>94</v>
      </c>
      <c r="C404">
        <v>2002</v>
      </c>
      <c r="D404">
        <v>15</v>
      </c>
      <c r="E404">
        <v>0</v>
      </c>
      <c r="F404" t="s">
        <v>95</v>
      </c>
      <c r="G404">
        <v>0.79774999999999996</v>
      </c>
      <c r="H404">
        <v>1</v>
      </c>
      <c r="I404">
        <v>0.20699999999999999</v>
      </c>
      <c r="J404">
        <v>0.35399999999999998</v>
      </c>
      <c r="K404">
        <v>1.0109999999999999</v>
      </c>
      <c r="L404">
        <v>1.3220000000000001</v>
      </c>
      <c r="M404">
        <v>0.33600000000000002</v>
      </c>
      <c r="N404">
        <v>0.497</v>
      </c>
      <c r="O404">
        <v>-0.32500000000000001</v>
      </c>
      <c r="P404">
        <v>4.2930000000000001</v>
      </c>
      <c r="Q404">
        <v>0</v>
      </c>
      <c r="R404">
        <v>6274.4</v>
      </c>
      <c r="S404">
        <v>4.28</v>
      </c>
      <c r="T404">
        <v>0.19</v>
      </c>
      <c r="U404">
        <v>4.84</v>
      </c>
      <c r="V404">
        <v>53.6</v>
      </c>
      <c r="W404" t="s">
        <v>54</v>
      </c>
      <c r="X404" t="s">
        <v>55</v>
      </c>
      <c r="Y404" t="s">
        <v>59</v>
      </c>
      <c r="Z404">
        <v>0.66100000000000003</v>
      </c>
      <c r="AA404">
        <v>0.79800000000000004</v>
      </c>
      <c r="AB404">
        <v>120</v>
      </c>
      <c r="AC404">
        <v>4.8</v>
      </c>
      <c r="AE404">
        <v>-77.046499999999995</v>
      </c>
      <c r="AF404">
        <v>-12.0931</v>
      </c>
      <c r="AG404" t="s">
        <v>57</v>
      </c>
      <c r="AH404" t="s">
        <v>58</v>
      </c>
      <c r="AI404">
        <v>3422.2750000000001</v>
      </c>
      <c r="AJ404">
        <v>5.4535289999999996</v>
      </c>
      <c r="AK404">
        <v>92800000000</v>
      </c>
      <c r="AL404">
        <v>22.20205</v>
      </c>
      <c r="AN404">
        <v>-2.026939</v>
      </c>
      <c r="AO404">
        <v>62.693150000000003</v>
      </c>
      <c r="AP404">
        <v>35.249180000000003</v>
      </c>
      <c r="AQ404">
        <v>3.9356209999999998</v>
      </c>
      <c r="AR404">
        <v>11.16503</v>
      </c>
      <c r="AS404">
        <v>4.8356370000000002</v>
      </c>
      <c r="AT404">
        <v>-1.660731</v>
      </c>
      <c r="AU404">
        <v>0.105625</v>
      </c>
      <c r="AV404">
        <v>-1.660731</v>
      </c>
      <c r="AW404">
        <v>25.253139999999998</v>
      </c>
      <c r="AX404">
        <v>1.79</v>
      </c>
      <c r="AY404">
        <v>2.36541210100048</v>
      </c>
      <c r="AZ404" s="1">
        <v>0.38300001621246299</v>
      </c>
      <c r="BA404" s="1">
        <v>0.12900000810623199</v>
      </c>
      <c r="BB404" s="1">
        <v>0.51200002431869496</v>
      </c>
      <c r="BC404" s="1">
        <v>4.519774</v>
      </c>
      <c r="BD404" s="2">
        <v>35.249181331769996</v>
      </c>
      <c r="BE404" s="2">
        <f t="shared" si="12"/>
        <v>0.18477990074899964</v>
      </c>
      <c r="BF404" s="2">
        <f t="shared" si="13"/>
        <v>0.52697292184639255</v>
      </c>
      <c r="BG404">
        <v>14742</v>
      </c>
      <c r="BH404" s="3">
        <v>1280</v>
      </c>
      <c r="BI404">
        <v>9.5082454315852036</v>
      </c>
      <c r="BJ404" s="3">
        <v>8177</v>
      </c>
      <c r="BK404">
        <v>688</v>
      </c>
      <c r="BL404">
        <v>9.186807317398852</v>
      </c>
      <c r="BM404" s="3">
        <v>2155.8368</v>
      </c>
      <c r="BN404">
        <v>1085.9768000000001</v>
      </c>
      <c r="BO404">
        <v>101.50644009496571</v>
      </c>
      <c r="BP404">
        <v>13090827627.5592</v>
      </c>
      <c r="BQ404">
        <v>64000940.31649971</v>
      </c>
      <c r="BR404">
        <v>0.49130108086243646</v>
      </c>
      <c r="BS404">
        <v>0.552145</v>
      </c>
      <c r="BT404">
        <v>0.1731017</v>
      </c>
      <c r="BU404">
        <v>0.21461168243995099</v>
      </c>
    </row>
    <row r="405" spans="1:73" x14ac:dyDescent="0.2">
      <c r="A405">
        <v>347</v>
      </c>
      <c r="B405" t="s">
        <v>94</v>
      </c>
      <c r="C405">
        <v>2003</v>
      </c>
      <c r="D405">
        <v>15</v>
      </c>
      <c r="E405">
        <v>0</v>
      </c>
      <c r="F405" t="s">
        <v>95</v>
      </c>
      <c r="G405">
        <v>0.79774999999999996</v>
      </c>
      <c r="H405">
        <v>0</v>
      </c>
      <c r="I405">
        <v>0.20699999999999999</v>
      </c>
      <c r="J405">
        <v>0.35399999999999998</v>
      </c>
      <c r="K405">
        <v>1.0109999999999999</v>
      </c>
      <c r="L405">
        <v>1.3220000000000001</v>
      </c>
      <c r="M405">
        <v>0.33600000000000002</v>
      </c>
      <c r="N405">
        <v>0.497</v>
      </c>
      <c r="O405">
        <v>-0.32500000000000001</v>
      </c>
      <c r="P405">
        <v>4.5250000000000004</v>
      </c>
      <c r="Q405">
        <v>0</v>
      </c>
      <c r="R405">
        <v>6472.3</v>
      </c>
      <c r="S405">
        <v>3.133</v>
      </c>
      <c r="T405">
        <v>2.2599999999999998</v>
      </c>
      <c r="U405">
        <v>4.1500000000000004</v>
      </c>
      <c r="V405">
        <v>53.1</v>
      </c>
      <c r="W405" t="s">
        <v>54</v>
      </c>
      <c r="X405" t="s">
        <v>55</v>
      </c>
      <c r="Y405" t="s">
        <v>59</v>
      </c>
      <c r="Z405">
        <v>0.66400000000000003</v>
      </c>
      <c r="AA405">
        <v>0.79800000000000004</v>
      </c>
      <c r="AB405">
        <v>120</v>
      </c>
      <c r="AC405">
        <v>4.8</v>
      </c>
      <c r="AE405">
        <v>-77.046499999999995</v>
      </c>
      <c r="AF405">
        <v>-12.0931</v>
      </c>
      <c r="AG405" t="s">
        <v>57</v>
      </c>
      <c r="AH405" t="s">
        <v>58</v>
      </c>
      <c r="AI405">
        <v>3529.4870000000001</v>
      </c>
      <c r="AJ405">
        <v>4.1650229999999997</v>
      </c>
      <c r="AK405">
        <v>96600000000</v>
      </c>
      <c r="AL405">
        <v>19.98574</v>
      </c>
      <c r="AN405">
        <v>-1.615043</v>
      </c>
      <c r="AO405">
        <v>61.773299999999999</v>
      </c>
      <c r="AP405">
        <v>37.624609999999997</v>
      </c>
      <c r="AQ405">
        <v>2.2730860000000002</v>
      </c>
      <c r="AR405">
        <v>11.51872</v>
      </c>
      <c r="AS405">
        <v>1.2885059999999999</v>
      </c>
      <c r="AT405">
        <v>0.8153648</v>
      </c>
      <c r="AU405">
        <v>0.105625</v>
      </c>
      <c r="AV405">
        <v>0.8153648</v>
      </c>
      <c r="AW405">
        <v>25.293949999999999</v>
      </c>
      <c r="AX405">
        <v>2.0699999999999998</v>
      </c>
      <c r="AY405">
        <v>2.36541210100048</v>
      </c>
      <c r="AZ405" s="1">
        <v>0.38300001621246299</v>
      </c>
      <c r="BA405" s="1">
        <v>0.12900000810623199</v>
      </c>
      <c r="BB405" s="1">
        <v>0.51200002431869496</v>
      </c>
      <c r="BC405" s="1">
        <v>4.519774</v>
      </c>
      <c r="BD405" s="2">
        <v>37.624610325100001</v>
      </c>
      <c r="BE405" s="2">
        <f t="shared" si="12"/>
        <v>2.3754289933300043</v>
      </c>
      <c r="BF405" s="2">
        <f t="shared" si="13"/>
        <v>6.7389621647440539</v>
      </c>
      <c r="BG405">
        <v>16174</v>
      </c>
      <c r="BH405" s="3">
        <v>1432</v>
      </c>
      <c r="BI405">
        <v>9.713743047076381</v>
      </c>
      <c r="BJ405" s="3">
        <v>9312</v>
      </c>
      <c r="BK405">
        <v>1135</v>
      </c>
      <c r="BL405">
        <v>13.880396233337409</v>
      </c>
      <c r="BM405" s="3">
        <v>1275.0070000000001</v>
      </c>
      <c r="BN405">
        <v>880.82979999999998</v>
      </c>
      <c r="BO405">
        <v>40.857907240473857</v>
      </c>
      <c r="BP405">
        <v>13826085488.959801</v>
      </c>
      <c r="BQ405">
        <v>735257861.40060043</v>
      </c>
      <c r="BR405">
        <v>5.6165880593577882</v>
      </c>
      <c r="BS405">
        <v>0.35369109999999998</v>
      </c>
      <c r="BT405">
        <v>0.75968440000000004</v>
      </c>
      <c r="BU405">
        <v>0.97429617320747797</v>
      </c>
    </row>
    <row r="406" spans="1:73" x14ac:dyDescent="0.2">
      <c r="A406">
        <v>348</v>
      </c>
      <c r="B406" t="s">
        <v>94</v>
      </c>
      <c r="C406">
        <v>2004</v>
      </c>
      <c r="D406">
        <v>15</v>
      </c>
      <c r="E406">
        <v>0</v>
      </c>
      <c r="F406" t="s">
        <v>95</v>
      </c>
      <c r="G406">
        <v>0.79774999999999996</v>
      </c>
      <c r="H406">
        <v>1</v>
      </c>
      <c r="I406">
        <v>0.20699999999999999</v>
      </c>
      <c r="J406">
        <v>0.35399999999999998</v>
      </c>
      <c r="K406">
        <v>1.0109999999999999</v>
      </c>
      <c r="L406">
        <v>1.3220000000000001</v>
      </c>
      <c r="M406">
        <v>0.33600000000000002</v>
      </c>
      <c r="N406">
        <v>0.497</v>
      </c>
      <c r="O406">
        <v>-0.32500000000000001</v>
      </c>
      <c r="P406">
        <v>4.1820000000000004</v>
      </c>
      <c r="Q406">
        <v>0</v>
      </c>
      <c r="R406">
        <v>6731</v>
      </c>
      <c r="S406">
        <v>4.0010000000000003</v>
      </c>
      <c r="T406">
        <v>3.66</v>
      </c>
      <c r="U406">
        <v>4.7</v>
      </c>
      <c r="V406">
        <v>49.9</v>
      </c>
      <c r="W406" t="s">
        <v>54</v>
      </c>
      <c r="X406" t="s">
        <v>55</v>
      </c>
      <c r="Y406" t="s">
        <v>59</v>
      </c>
      <c r="Z406">
        <v>0.66300000000000003</v>
      </c>
      <c r="AA406">
        <v>0.79700000000000004</v>
      </c>
      <c r="AB406">
        <v>120</v>
      </c>
      <c r="AC406">
        <v>4.8</v>
      </c>
      <c r="AE406">
        <v>-77.046499999999995</v>
      </c>
      <c r="AF406">
        <v>-12.0931</v>
      </c>
      <c r="AG406" t="s">
        <v>57</v>
      </c>
      <c r="AH406" t="s">
        <v>58</v>
      </c>
      <c r="AI406">
        <v>3670.6909999999998</v>
      </c>
      <c r="AJ406">
        <v>4.9582030000000001</v>
      </c>
      <c r="AK406">
        <v>101000000000</v>
      </c>
      <c r="AL406">
        <v>17.910240000000002</v>
      </c>
      <c r="AN406">
        <v>2.8886100000000001E-2</v>
      </c>
      <c r="AO406">
        <v>60.906669999999998</v>
      </c>
      <c r="AP406">
        <v>41.936079999999997</v>
      </c>
      <c r="AQ406">
        <v>2.394892</v>
      </c>
      <c r="AR406">
        <v>11.25628</v>
      </c>
      <c r="AS406">
        <v>0.79318</v>
      </c>
      <c r="AT406">
        <v>1.297463</v>
      </c>
      <c r="AU406">
        <v>0.105625</v>
      </c>
      <c r="AV406">
        <v>1.297463</v>
      </c>
      <c r="AW406">
        <v>25.34234</v>
      </c>
      <c r="AX406">
        <v>1.4</v>
      </c>
      <c r="AY406">
        <v>2.36541210100048</v>
      </c>
      <c r="AZ406" s="1">
        <v>0.38300001621246299</v>
      </c>
      <c r="BA406" s="1">
        <v>0.12900000810623199</v>
      </c>
      <c r="BB406" s="1">
        <v>0.51200002431869496</v>
      </c>
      <c r="BC406" s="1">
        <v>4.4171779999999998</v>
      </c>
      <c r="BD406" s="2">
        <v>41.936078267927002</v>
      </c>
      <c r="BE406" s="2">
        <f t="shared" si="12"/>
        <v>4.3114679428270009</v>
      </c>
      <c r="BF406" s="2">
        <f t="shared" si="13"/>
        <v>11.459169691255909</v>
      </c>
      <c r="BG406">
        <v>21446</v>
      </c>
      <c r="BH406" s="3">
        <v>5272</v>
      </c>
      <c r="BI406">
        <v>32.595523679980218</v>
      </c>
      <c r="BJ406" s="3">
        <v>12420</v>
      </c>
      <c r="BK406">
        <v>3108</v>
      </c>
      <c r="BL406">
        <v>33.376288659793815</v>
      </c>
      <c r="BM406" s="3">
        <v>1599.0382999999999</v>
      </c>
      <c r="BN406">
        <v>324.03129999999987</v>
      </c>
      <c r="BO406">
        <v>25.414080079560335</v>
      </c>
      <c r="BP406">
        <v>14844453392.231001</v>
      </c>
      <c r="BQ406">
        <v>1018367903.2712002</v>
      </c>
      <c r="BR406">
        <v>7.3655547991828358</v>
      </c>
      <c r="BS406">
        <v>0.2624378</v>
      </c>
      <c r="BT406">
        <v>4.9963800000000003E-2</v>
      </c>
      <c r="BU406">
        <v>1.0242599305635001</v>
      </c>
    </row>
    <row r="407" spans="1:73" x14ac:dyDescent="0.2">
      <c r="A407">
        <v>349</v>
      </c>
      <c r="B407" t="s">
        <v>94</v>
      </c>
      <c r="C407">
        <v>2005</v>
      </c>
      <c r="D407">
        <v>15</v>
      </c>
      <c r="E407">
        <v>0</v>
      </c>
      <c r="F407" t="s">
        <v>95</v>
      </c>
      <c r="G407">
        <v>0.79774999999999996</v>
      </c>
      <c r="H407">
        <v>0</v>
      </c>
      <c r="I407">
        <v>0.20699999999999999</v>
      </c>
      <c r="J407">
        <v>0.35399999999999998</v>
      </c>
      <c r="K407">
        <v>1.0109999999999999</v>
      </c>
      <c r="L407">
        <v>1.3220000000000001</v>
      </c>
      <c r="M407">
        <v>0.33600000000000002</v>
      </c>
      <c r="N407">
        <v>0.497</v>
      </c>
      <c r="O407">
        <v>-0.32500000000000001</v>
      </c>
      <c r="P407">
        <v>4.8289999999999997</v>
      </c>
      <c r="Q407">
        <v>0</v>
      </c>
      <c r="R407">
        <v>7091.1</v>
      </c>
      <c r="S407">
        <v>5.3620000000000001</v>
      </c>
      <c r="T407">
        <v>1.62</v>
      </c>
      <c r="U407">
        <v>4.88</v>
      </c>
      <c r="V407">
        <v>50.4</v>
      </c>
      <c r="W407" t="s">
        <v>54</v>
      </c>
      <c r="X407" t="s">
        <v>55</v>
      </c>
      <c r="Y407" t="s">
        <v>59</v>
      </c>
      <c r="Z407">
        <v>0.66500000000000004</v>
      </c>
      <c r="AA407">
        <v>0.79700000000000004</v>
      </c>
      <c r="AB407">
        <v>120</v>
      </c>
      <c r="AC407">
        <v>4.8</v>
      </c>
      <c r="AE407">
        <v>-77.046499999999995</v>
      </c>
      <c r="AF407">
        <v>-12.0931</v>
      </c>
      <c r="AG407" t="s">
        <v>57</v>
      </c>
      <c r="AH407" t="s">
        <v>58</v>
      </c>
      <c r="AI407">
        <v>3867.527</v>
      </c>
      <c r="AJ407">
        <v>6.2850599999999996</v>
      </c>
      <c r="AK407">
        <v>108000000000</v>
      </c>
      <c r="AL407">
        <v>19.066420000000001</v>
      </c>
      <c r="AN407">
        <v>1.50881</v>
      </c>
      <c r="AO407">
        <v>60.083109999999998</v>
      </c>
      <c r="AP407">
        <v>47.357320000000001</v>
      </c>
      <c r="AQ407">
        <v>3.3903479999999999</v>
      </c>
      <c r="AR407">
        <v>11.444509999999999</v>
      </c>
      <c r="AS407">
        <v>1.326857</v>
      </c>
      <c r="AT407">
        <v>0.48242620000000003</v>
      </c>
      <c r="AU407">
        <v>0.105625</v>
      </c>
      <c r="AV407">
        <v>0.48242620000000003</v>
      </c>
      <c r="AW407">
        <v>25.403289999999998</v>
      </c>
      <c r="AX407">
        <v>2.04</v>
      </c>
      <c r="AY407">
        <v>2.36541210100048</v>
      </c>
      <c r="AZ407" s="1">
        <v>0.38300001621246299</v>
      </c>
      <c r="BA407" s="1">
        <v>0.12900000810623199</v>
      </c>
      <c r="BB407" s="1">
        <v>0.51200002431869496</v>
      </c>
      <c r="BC407" s="1">
        <v>4.4171779999999998</v>
      </c>
      <c r="BD407" s="2">
        <v>47.357317476839</v>
      </c>
      <c r="BE407" s="2">
        <f t="shared" si="12"/>
        <v>5.4212392089119987</v>
      </c>
      <c r="BF407" s="2">
        <f t="shared" si="13"/>
        <v>12.927387187414231</v>
      </c>
      <c r="BG407">
        <v>28264</v>
      </c>
      <c r="BH407" s="3">
        <v>6818</v>
      </c>
      <c r="BI407">
        <v>31.791476265970346</v>
      </c>
      <c r="BJ407" s="3">
        <v>15489</v>
      </c>
      <c r="BK407">
        <v>3069</v>
      </c>
      <c r="BL407">
        <v>24.710144927536231</v>
      </c>
      <c r="BM407" s="3">
        <v>2578.7193000000002</v>
      </c>
      <c r="BN407">
        <v>979.68100000000027</v>
      </c>
      <c r="BO407">
        <v>61.266887728705449</v>
      </c>
      <c r="BP407">
        <v>16495677652.3965</v>
      </c>
      <c r="BQ407">
        <v>1651224260.1654987</v>
      </c>
      <c r="BR407">
        <v>11.123510017753055</v>
      </c>
      <c r="BS407">
        <v>0.1882334</v>
      </c>
      <c r="BT407">
        <v>0.63272019999999995</v>
      </c>
      <c r="BU407">
        <v>0.39153969272480499</v>
      </c>
    </row>
    <row r="408" spans="1:73" x14ac:dyDescent="0.2">
      <c r="A408">
        <v>350</v>
      </c>
      <c r="B408" t="s">
        <v>94</v>
      </c>
      <c r="C408">
        <v>2006</v>
      </c>
      <c r="D408">
        <v>15</v>
      </c>
      <c r="E408">
        <v>1</v>
      </c>
      <c r="F408" t="s">
        <v>95</v>
      </c>
      <c r="G408">
        <v>0.79774999999999996</v>
      </c>
      <c r="H408">
        <v>0</v>
      </c>
      <c r="I408">
        <v>0.89500000000000002</v>
      </c>
      <c r="J408">
        <v>0.98099999999999998</v>
      </c>
      <c r="K408">
        <v>2.1030000000000002</v>
      </c>
      <c r="L408">
        <v>2.2010000000000001</v>
      </c>
      <c r="M408">
        <v>0.74399999999999999</v>
      </c>
      <c r="N408">
        <v>0.80400000000000005</v>
      </c>
      <c r="O408">
        <v>0.218</v>
      </c>
      <c r="P408">
        <v>4.2350000000000003</v>
      </c>
      <c r="Q408">
        <v>1</v>
      </c>
      <c r="R408">
        <v>7560.9</v>
      </c>
      <c r="S408">
        <v>6.6260000000000003</v>
      </c>
      <c r="T408">
        <v>2</v>
      </c>
      <c r="U408">
        <v>4.18</v>
      </c>
      <c r="V408">
        <v>50.3</v>
      </c>
      <c r="W408" t="s">
        <v>54</v>
      </c>
      <c r="X408" t="s">
        <v>55</v>
      </c>
      <c r="Y408" t="s">
        <v>59</v>
      </c>
      <c r="Z408">
        <v>0.64900000000000002</v>
      </c>
      <c r="AA408">
        <v>0.78700000000000003</v>
      </c>
      <c r="AB408">
        <v>120</v>
      </c>
      <c r="AC408">
        <v>4.8</v>
      </c>
      <c r="AD408">
        <v>32.539459999999998</v>
      </c>
      <c r="AE408">
        <v>-77.046499999999995</v>
      </c>
      <c r="AF408">
        <v>-12.0931</v>
      </c>
      <c r="AG408" t="s">
        <v>57</v>
      </c>
      <c r="AH408" t="s">
        <v>58</v>
      </c>
      <c r="AI408">
        <v>4123.7969999999996</v>
      </c>
      <c r="AJ408">
        <v>7.528899</v>
      </c>
      <c r="AK408">
        <v>116000000000</v>
      </c>
      <c r="AL408">
        <v>20.81316</v>
      </c>
      <c r="AM408">
        <v>32.539459999999998</v>
      </c>
      <c r="AN408">
        <v>3.240507</v>
      </c>
      <c r="AO408">
        <v>59.334319999999998</v>
      </c>
      <c r="AP408">
        <v>51.785060000000001</v>
      </c>
      <c r="AQ408">
        <v>3.910657</v>
      </c>
      <c r="AR408">
        <v>10.916689999999999</v>
      </c>
      <c r="AS408">
        <v>1.2438389999999999</v>
      </c>
      <c r="AT408">
        <v>0.69314719999999996</v>
      </c>
      <c r="AU408">
        <v>4.7523999999999997E-2</v>
      </c>
      <c r="AV408">
        <v>0.69314719999999996</v>
      </c>
      <c r="AW408">
        <v>25.47588</v>
      </c>
      <c r="AX408">
        <v>0.38</v>
      </c>
      <c r="AY408">
        <v>2.7965697951405399</v>
      </c>
      <c r="AZ408" s="1">
        <v>0.29949998855590798</v>
      </c>
      <c r="BA408" s="1">
        <v>0.26100000739097601</v>
      </c>
      <c r="BB408" s="1">
        <v>0.56050002574920699</v>
      </c>
      <c r="BC408" s="1">
        <v>3.7775444999999999</v>
      </c>
      <c r="BD408" s="2">
        <v>51.785056033844</v>
      </c>
      <c r="BE408" s="2">
        <f t="shared" si="12"/>
        <v>4.4277385570050001</v>
      </c>
      <c r="BF408" s="2">
        <f t="shared" si="13"/>
        <v>9.3496397028198857</v>
      </c>
      <c r="BG408">
        <v>33340</v>
      </c>
      <c r="BH408" s="3">
        <v>5076</v>
      </c>
      <c r="BI408">
        <v>17.959241437871498</v>
      </c>
      <c r="BJ408" s="3">
        <v>18975</v>
      </c>
      <c r="BK408">
        <v>3486</v>
      </c>
      <c r="BL408">
        <v>22.506294789850863</v>
      </c>
      <c r="BM408" s="3">
        <v>3466.5309999999999</v>
      </c>
      <c r="BN408">
        <v>887.81169999999975</v>
      </c>
      <c r="BO408">
        <v>34.428396297340299</v>
      </c>
      <c r="BP408">
        <v>19608382208.495098</v>
      </c>
      <c r="BQ408">
        <v>3112704556.0985985</v>
      </c>
      <c r="BR408">
        <v>18.869819244112009</v>
      </c>
      <c r="BS408">
        <v>0.52781769999999995</v>
      </c>
      <c r="BT408">
        <v>1.83819</v>
      </c>
      <c r="BU408">
        <v>2.22972936776591</v>
      </c>
    </row>
    <row r="409" spans="1:73" x14ac:dyDescent="0.2">
      <c r="A409">
        <v>351</v>
      </c>
      <c r="B409" t="s">
        <v>94</v>
      </c>
      <c r="C409">
        <v>2007</v>
      </c>
      <c r="D409">
        <v>15</v>
      </c>
      <c r="E409">
        <v>0</v>
      </c>
      <c r="F409" t="s">
        <v>95</v>
      </c>
      <c r="G409">
        <v>0.79774999999999996</v>
      </c>
      <c r="H409">
        <v>1</v>
      </c>
      <c r="I409">
        <v>0.89500000000000002</v>
      </c>
      <c r="J409">
        <v>0.98099999999999998</v>
      </c>
      <c r="K409">
        <v>2.1030000000000002</v>
      </c>
      <c r="L409">
        <v>2.2010000000000001</v>
      </c>
      <c r="M409">
        <v>0.74399999999999999</v>
      </c>
      <c r="N409">
        <v>0.80400000000000005</v>
      </c>
      <c r="O409">
        <v>-0.316</v>
      </c>
      <c r="P409">
        <v>3.6760000000000002</v>
      </c>
      <c r="Q409">
        <v>0</v>
      </c>
      <c r="R409">
        <v>8138.4</v>
      </c>
      <c r="S409">
        <v>7.6340000000000003</v>
      </c>
      <c r="T409">
        <v>1.78</v>
      </c>
      <c r="U409">
        <v>4.04</v>
      </c>
      <c r="V409">
        <v>50</v>
      </c>
      <c r="W409" t="s">
        <v>54</v>
      </c>
      <c r="X409" t="s">
        <v>55</v>
      </c>
      <c r="Y409" t="s">
        <v>59</v>
      </c>
      <c r="Z409">
        <v>0.629</v>
      </c>
      <c r="AA409">
        <v>0.78200000000000003</v>
      </c>
      <c r="AB409">
        <v>120</v>
      </c>
      <c r="AC409">
        <v>4.8</v>
      </c>
      <c r="AD409">
        <v>28.52882</v>
      </c>
      <c r="AE409">
        <v>-77.046499999999995</v>
      </c>
      <c r="AF409">
        <v>-12.0931</v>
      </c>
      <c r="AG409" t="s">
        <v>57</v>
      </c>
      <c r="AH409" t="s">
        <v>58</v>
      </c>
      <c r="AI409">
        <v>4438.5940000000001</v>
      </c>
      <c r="AJ409">
        <v>8.5183879999999998</v>
      </c>
      <c r="AK409">
        <v>126000000000</v>
      </c>
      <c r="AL409">
        <v>24.60707</v>
      </c>
      <c r="AM409">
        <v>28.52882</v>
      </c>
      <c r="AN409">
        <v>1.4293149999999999</v>
      </c>
      <c r="AO409">
        <v>58.678089999999997</v>
      </c>
      <c r="AP409">
        <v>55.688110000000002</v>
      </c>
      <c r="AQ409">
        <v>5.3742869999999998</v>
      </c>
      <c r="AR409">
        <v>10.455030000000001</v>
      </c>
      <c r="AS409">
        <v>0.98948860000000005</v>
      </c>
      <c r="AT409">
        <v>0.57661340000000005</v>
      </c>
      <c r="AU409">
        <v>9.9856E-2</v>
      </c>
      <c r="AV409">
        <v>0.57661340000000005</v>
      </c>
      <c r="AW409">
        <v>25.55763</v>
      </c>
      <c r="AX409">
        <v>0.22</v>
      </c>
      <c r="AY409">
        <v>2.3725583611243501</v>
      </c>
      <c r="AZ409" s="1">
        <v>0.29949998855590798</v>
      </c>
      <c r="BA409" s="1">
        <v>0.26100000739097601</v>
      </c>
      <c r="BB409" s="1">
        <v>0.56050002574920699</v>
      </c>
      <c r="BC409" s="1">
        <v>3.7775444999999999</v>
      </c>
      <c r="BD409" s="2">
        <v>55.688113283682</v>
      </c>
      <c r="BE409" s="2">
        <f t="shared" si="12"/>
        <v>3.9030572498379996</v>
      </c>
      <c r="BF409" s="2">
        <f t="shared" si="13"/>
        <v>7.5370339413887395</v>
      </c>
      <c r="BG409">
        <v>44866</v>
      </c>
      <c r="BH409" s="3">
        <v>11526</v>
      </c>
      <c r="BI409">
        <v>34.571085782843433</v>
      </c>
      <c r="BJ409" s="3">
        <v>24476</v>
      </c>
      <c r="BK409">
        <v>5501</v>
      </c>
      <c r="BL409">
        <v>28.990777338603426</v>
      </c>
      <c r="BM409" s="3">
        <v>5425.3843999999999</v>
      </c>
      <c r="BN409">
        <v>1958.8534</v>
      </c>
      <c r="BO409">
        <v>56.507597941573287</v>
      </c>
      <c r="BP409">
        <v>24053812227.654701</v>
      </c>
      <c r="BQ409">
        <v>4445430019.1596031</v>
      </c>
      <c r="BR409">
        <v>22.671069810306296</v>
      </c>
      <c r="BS409">
        <v>0.46166420000000002</v>
      </c>
      <c r="BT409">
        <v>1.6470130000000001</v>
      </c>
      <c r="BU409">
        <v>3.8767420615992698</v>
      </c>
    </row>
    <row r="410" spans="1:73" x14ac:dyDescent="0.2">
      <c r="A410">
        <v>352</v>
      </c>
      <c r="B410" t="s">
        <v>94</v>
      </c>
      <c r="C410">
        <v>2008</v>
      </c>
      <c r="D410">
        <v>15</v>
      </c>
      <c r="E410">
        <v>0</v>
      </c>
      <c r="F410" t="s">
        <v>95</v>
      </c>
      <c r="G410">
        <v>0.79774999999999996</v>
      </c>
      <c r="H410">
        <v>0</v>
      </c>
      <c r="I410">
        <v>0.89500000000000002</v>
      </c>
      <c r="J410">
        <v>0.98099999999999998</v>
      </c>
      <c r="K410">
        <v>2.1030000000000002</v>
      </c>
      <c r="L410">
        <v>2.2010000000000001</v>
      </c>
      <c r="M410">
        <v>0.74399999999999999</v>
      </c>
      <c r="N410">
        <v>0.80400000000000005</v>
      </c>
      <c r="O410">
        <v>-0.316</v>
      </c>
      <c r="P410">
        <v>3.843</v>
      </c>
      <c r="Q410">
        <v>0</v>
      </c>
      <c r="R410">
        <v>8812.6</v>
      </c>
      <c r="S410">
        <v>8.2509999999999994</v>
      </c>
      <c r="T410">
        <v>5.79</v>
      </c>
      <c r="U410">
        <v>4.04</v>
      </c>
      <c r="V410">
        <v>47.5</v>
      </c>
      <c r="W410" t="s">
        <v>54</v>
      </c>
      <c r="X410" t="s">
        <v>55</v>
      </c>
      <c r="Y410" t="s">
        <v>59</v>
      </c>
      <c r="Z410">
        <v>0.63300000000000001</v>
      </c>
      <c r="AA410">
        <v>0.78600000000000003</v>
      </c>
      <c r="AB410">
        <v>120</v>
      </c>
      <c r="AC410">
        <v>4.8</v>
      </c>
      <c r="AD410">
        <v>26.076319999999999</v>
      </c>
      <c r="AE410">
        <v>-77.046499999999995</v>
      </c>
      <c r="AF410">
        <v>-12.0931</v>
      </c>
      <c r="AG410" t="s">
        <v>57</v>
      </c>
      <c r="AH410" t="s">
        <v>58</v>
      </c>
      <c r="AI410">
        <v>4804.8050000000003</v>
      </c>
      <c r="AJ410">
        <v>9.1265680000000007</v>
      </c>
      <c r="AK410">
        <v>137000000000</v>
      </c>
      <c r="AL410">
        <v>29.763960000000001</v>
      </c>
      <c r="AM410">
        <v>26.076319999999999</v>
      </c>
      <c r="AN410">
        <v>-4.4111209999999996</v>
      </c>
      <c r="AO410">
        <v>58.095370000000003</v>
      </c>
      <c r="AP410">
        <v>58.433770000000003</v>
      </c>
      <c r="AQ410">
        <v>5.7433569999999996</v>
      </c>
      <c r="AR410">
        <v>10.37086</v>
      </c>
      <c r="AS410">
        <v>0.60818000000000005</v>
      </c>
      <c r="AT410">
        <v>1.756132</v>
      </c>
      <c r="AU410">
        <v>9.9856E-2</v>
      </c>
      <c r="AV410">
        <v>1.756132</v>
      </c>
      <c r="AW410">
        <v>25.644970000000001</v>
      </c>
      <c r="AX410">
        <v>4.01</v>
      </c>
      <c r="AY410">
        <v>2.3725583611243501</v>
      </c>
      <c r="AZ410" s="1">
        <v>0.29949998855590798</v>
      </c>
      <c r="BA410" s="1">
        <v>0.26100000739097601</v>
      </c>
      <c r="BB410" s="1">
        <v>0.56050002574920699</v>
      </c>
      <c r="BC410" s="1">
        <v>3.7775444999999999</v>
      </c>
      <c r="BD410" s="2">
        <v>58.433767389905</v>
      </c>
      <c r="BE410" s="2">
        <f t="shared" si="12"/>
        <v>2.7456541062230002</v>
      </c>
      <c r="BF410" s="2">
        <f t="shared" si="13"/>
        <v>4.9304132324187488</v>
      </c>
      <c r="BG410">
        <v>57083</v>
      </c>
      <c r="BH410" s="3">
        <v>12217</v>
      </c>
      <c r="BI410">
        <v>27.229973699460615</v>
      </c>
      <c r="BJ410" s="3">
        <v>28930</v>
      </c>
      <c r="BK410">
        <v>4454</v>
      </c>
      <c r="BL410">
        <v>18.197417878738356</v>
      </c>
      <c r="BM410" s="3">
        <v>6187.8516</v>
      </c>
      <c r="BN410">
        <v>762.46720000000005</v>
      </c>
      <c r="BO410">
        <v>14.05369912590894</v>
      </c>
      <c r="BP410">
        <v>30745298775.803699</v>
      </c>
      <c r="BQ410">
        <v>6691486548.1489983</v>
      </c>
      <c r="BR410">
        <v>27.818819257497097</v>
      </c>
      <c r="BS410">
        <v>8.4168400000000004E-2</v>
      </c>
      <c r="BT410">
        <v>2.4577040000000001</v>
      </c>
      <c r="BU410">
        <v>1.41903849378535</v>
      </c>
    </row>
    <row r="411" spans="1:73" x14ac:dyDescent="0.2">
      <c r="A411">
        <v>353</v>
      </c>
      <c r="B411" t="s">
        <v>94</v>
      </c>
      <c r="C411">
        <v>2009</v>
      </c>
      <c r="D411">
        <v>15</v>
      </c>
      <c r="E411">
        <v>0</v>
      </c>
      <c r="F411" t="s">
        <v>95</v>
      </c>
      <c r="G411">
        <v>0.79774999999999996</v>
      </c>
      <c r="H411">
        <v>0</v>
      </c>
      <c r="I411">
        <v>0.89500000000000002</v>
      </c>
      <c r="J411">
        <v>0.98099999999999998</v>
      </c>
      <c r="K411">
        <v>2.1030000000000002</v>
      </c>
      <c r="L411">
        <v>2.2010000000000001</v>
      </c>
      <c r="M411">
        <v>0.74399999999999999</v>
      </c>
      <c r="N411">
        <v>0.80400000000000005</v>
      </c>
      <c r="O411">
        <v>-0.316</v>
      </c>
      <c r="P411">
        <v>3.5409999999999999</v>
      </c>
      <c r="Q411">
        <v>0</v>
      </c>
      <c r="R411">
        <v>8836</v>
      </c>
      <c r="S411">
        <v>0.28699999999999998</v>
      </c>
      <c r="T411">
        <v>2.94</v>
      </c>
      <c r="U411">
        <v>3.98</v>
      </c>
      <c r="V411">
        <v>47</v>
      </c>
      <c r="W411" t="s">
        <v>54</v>
      </c>
      <c r="X411" t="s">
        <v>55</v>
      </c>
      <c r="Y411" t="s">
        <v>59</v>
      </c>
      <c r="Z411">
        <v>0.629</v>
      </c>
      <c r="AA411">
        <v>0.78100000000000003</v>
      </c>
      <c r="AB411">
        <v>120</v>
      </c>
      <c r="AC411">
        <v>4.8</v>
      </c>
      <c r="AD411">
        <v>26.400870000000001</v>
      </c>
      <c r="AE411">
        <v>-77.046499999999995</v>
      </c>
      <c r="AF411">
        <v>-12.0931</v>
      </c>
      <c r="AG411" t="s">
        <v>57</v>
      </c>
      <c r="AH411" t="s">
        <v>58</v>
      </c>
      <c r="AI411">
        <v>4818.5969999999998</v>
      </c>
      <c r="AJ411">
        <v>1.0958239999999999</v>
      </c>
      <c r="AK411">
        <v>139000000000</v>
      </c>
      <c r="AL411">
        <v>30.014530000000001</v>
      </c>
      <c r="AM411">
        <v>26.400870000000001</v>
      </c>
      <c r="AN411">
        <v>-0.59828870000000001</v>
      </c>
      <c r="AO411">
        <v>57.54804</v>
      </c>
      <c r="AP411">
        <v>48.111930000000001</v>
      </c>
      <c r="AQ411">
        <v>5.3223750000000001</v>
      </c>
      <c r="AR411">
        <v>11.46636</v>
      </c>
      <c r="AS411">
        <v>8.0307449999999996</v>
      </c>
      <c r="AT411">
        <v>1.0784100000000001</v>
      </c>
      <c r="AU411">
        <v>9.9856E-2</v>
      </c>
      <c r="AV411">
        <v>1.0784100000000001</v>
      </c>
      <c r="AW411">
        <v>25.65587</v>
      </c>
      <c r="AX411">
        <v>2.85</v>
      </c>
      <c r="AY411">
        <v>2.3725583611243501</v>
      </c>
      <c r="AZ411" s="1">
        <v>0.29949998855590798</v>
      </c>
      <c r="BA411" s="1">
        <v>0.26100000739097601</v>
      </c>
      <c r="BB411" s="1">
        <v>0.56050002574920699</v>
      </c>
      <c r="BC411" s="1">
        <v>3.7775444999999999</v>
      </c>
      <c r="BD411" s="2">
        <v>48.111929615351997</v>
      </c>
      <c r="BE411" s="2">
        <f t="shared" si="12"/>
        <v>10.321837774553003</v>
      </c>
      <c r="BF411" s="2">
        <f t="shared" si="13"/>
        <v>17.664166175833806</v>
      </c>
      <c r="BG411">
        <v>65324</v>
      </c>
      <c r="BH411" s="3">
        <v>8241</v>
      </c>
      <c r="BI411">
        <v>14.436872624073716</v>
      </c>
      <c r="BJ411" s="3">
        <v>33147</v>
      </c>
      <c r="BK411">
        <v>4217</v>
      </c>
      <c r="BL411">
        <v>14.576564120290357</v>
      </c>
      <c r="BM411" s="3">
        <v>6019.9399000000003</v>
      </c>
      <c r="BN411">
        <v>167.91169999999966</v>
      </c>
      <c r="BO411">
        <v>2.7135702478708388</v>
      </c>
      <c r="BP411">
        <v>29698695163.569302</v>
      </c>
      <c r="BQ411">
        <v>1046603612.2343979</v>
      </c>
      <c r="BR411">
        <v>3.4041094213014005</v>
      </c>
      <c r="BS411">
        <v>1.095494</v>
      </c>
      <c r="BT411">
        <v>0.27533780000000002</v>
      </c>
      <c r="BU411">
        <v>1.6943762939837499</v>
      </c>
    </row>
    <row r="412" spans="1:73" x14ac:dyDescent="0.2">
      <c r="A412">
        <v>354</v>
      </c>
      <c r="B412" t="s">
        <v>94</v>
      </c>
      <c r="C412">
        <v>2010</v>
      </c>
      <c r="D412">
        <v>15</v>
      </c>
      <c r="E412">
        <v>0</v>
      </c>
      <c r="F412" t="s">
        <v>95</v>
      </c>
      <c r="G412">
        <v>0.79774999999999996</v>
      </c>
      <c r="H412">
        <v>0</v>
      </c>
      <c r="I412">
        <v>0.89500000000000002</v>
      </c>
      <c r="J412">
        <v>0.98099999999999998</v>
      </c>
      <c r="K412">
        <v>2.1030000000000002</v>
      </c>
      <c r="L412">
        <v>2.2010000000000001</v>
      </c>
      <c r="M412">
        <v>0.74399999999999999</v>
      </c>
      <c r="N412">
        <v>0.80400000000000005</v>
      </c>
      <c r="O412">
        <v>4.8000000000000001E-2</v>
      </c>
      <c r="P412">
        <v>3.5369999999999999</v>
      </c>
      <c r="Q412">
        <v>0</v>
      </c>
      <c r="R412">
        <v>9507.7999999999993</v>
      </c>
      <c r="S412">
        <v>7.4550000000000001</v>
      </c>
      <c r="T412">
        <v>1.53</v>
      </c>
      <c r="U412">
        <v>3.58</v>
      </c>
      <c r="V412">
        <v>45.5</v>
      </c>
      <c r="W412" t="s">
        <v>54</v>
      </c>
      <c r="X412" t="s">
        <v>55</v>
      </c>
      <c r="Y412" t="s">
        <v>59</v>
      </c>
      <c r="Z412">
        <v>0.64</v>
      </c>
      <c r="AA412">
        <v>0.79</v>
      </c>
      <c r="AB412">
        <v>120</v>
      </c>
      <c r="AC412">
        <v>4.8</v>
      </c>
      <c r="AD412">
        <v>23.681789999999999</v>
      </c>
      <c r="AE412">
        <v>-77.046499999999995</v>
      </c>
      <c r="AF412">
        <v>-12.0931</v>
      </c>
      <c r="AG412" t="s">
        <v>57</v>
      </c>
      <c r="AH412" t="s">
        <v>58</v>
      </c>
      <c r="AI412">
        <v>5177.8410000000003</v>
      </c>
      <c r="AJ412">
        <v>8.3324590000000001</v>
      </c>
      <c r="AK412">
        <v>150000000000</v>
      </c>
      <c r="AL412">
        <v>30.261690000000002</v>
      </c>
      <c r="AM412">
        <v>23.681789999999999</v>
      </c>
      <c r="AN412">
        <v>-2.4160910000000002</v>
      </c>
      <c r="AO412">
        <v>57.012450000000001</v>
      </c>
      <c r="AP412">
        <v>51.672809999999998</v>
      </c>
      <c r="AQ412">
        <v>5.7308260000000004</v>
      </c>
      <c r="AR412">
        <v>10.525840000000001</v>
      </c>
      <c r="AS412">
        <v>7.2366359999999998</v>
      </c>
      <c r="AT412">
        <v>0.42526770000000003</v>
      </c>
      <c r="AU412">
        <v>2.3040000000000001E-3</v>
      </c>
      <c r="AV412">
        <v>0.42526770000000003</v>
      </c>
      <c r="AW412">
        <v>25.735910000000001</v>
      </c>
      <c r="AX412">
        <v>1.41</v>
      </c>
      <c r="AY412">
        <v>2.6615848816896901</v>
      </c>
      <c r="AZ412" s="1">
        <v>0.29949998855590798</v>
      </c>
      <c r="BA412" s="1">
        <v>0.26100000739097601</v>
      </c>
      <c r="BB412" s="1">
        <v>0.56050002574920699</v>
      </c>
      <c r="BC412" s="1">
        <v>3.7775444999999999</v>
      </c>
      <c r="BD412" s="2">
        <v>51.672808937002998</v>
      </c>
      <c r="BE412" s="2">
        <f t="shared" si="12"/>
        <v>3.5608793216510009</v>
      </c>
      <c r="BF412" s="2">
        <f t="shared" si="13"/>
        <v>7.4012398798379575</v>
      </c>
      <c r="BG412">
        <v>85366</v>
      </c>
      <c r="BH412" s="3">
        <v>20042</v>
      </c>
      <c r="BI412">
        <v>30.680913599902027</v>
      </c>
      <c r="BJ412" s="3">
        <v>42651</v>
      </c>
      <c r="BK412">
        <v>9504</v>
      </c>
      <c r="BL412">
        <v>28.672278034211242</v>
      </c>
      <c r="BM412" s="3">
        <v>8018.357</v>
      </c>
      <c r="BN412">
        <v>1998.4170999999997</v>
      </c>
      <c r="BO412">
        <v>33.196628757041239</v>
      </c>
      <c r="BP412">
        <v>36194790605.693298</v>
      </c>
      <c r="BQ412">
        <v>6496095442.1239967</v>
      </c>
      <c r="BR412">
        <v>21.873336206678218</v>
      </c>
      <c r="BS412">
        <v>0.94052029999999998</v>
      </c>
      <c r="BT412">
        <v>4.193708</v>
      </c>
      <c r="BU412">
        <v>-2.4993322527971298</v>
      </c>
    </row>
    <row r="413" spans="1:73" x14ac:dyDescent="0.2">
      <c r="A413">
        <v>355</v>
      </c>
      <c r="B413" t="s">
        <v>94</v>
      </c>
      <c r="C413">
        <v>2011</v>
      </c>
      <c r="D413">
        <v>15</v>
      </c>
      <c r="E413">
        <v>1</v>
      </c>
      <c r="F413" t="s">
        <v>95</v>
      </c>
      <c r="G413">
        <v>0.79774999999999996</v>
      </c>
      <c r="H413">
        <v>0</v>
      </c>
      <c r="I413">
        <v>2.1720000000000002</v>
      </c>
      <c r="J413">
        <v>2.4420000000000002</v>
      </c>
      <c r="K413">
        <v>3.2749999999999999</v>
      </c>
      <c r="L413">
        <v>3.4729999999999999</v>
      </c>
      <c r="M413">
        <v>1.365</v>
      </c>
      <c r="N413">
        <v>1.5029999999999999</v>
      </c>
      <c r="O413">
        <v>1.4999999999999999E-2</v>
      </c>
      <c r="P413">
        <v>3.798</v>
      </c>
      <c r="Q413">
        <v>1</v>
      </c>
      <c r="R413">
        <v>10044</v>
      </c>
      <c r="S413">
        <v>5.4669999999999996</v>
      </c>
      <c r="T413">
        <v>3.37</v>
      </c>
      <c r="U413">
        <v>3.48</v>
      </c>
      <c r="V413">
        <v>44.7</v>
      </c>
      <c r="W413" t="s">
        <v>54</v>
      </c>
      <c r="X413" t="s">
        <v>55</v>
      </c>
      <c r="Y413" t="s">
        <v>59</v>
      </c>
      <c r="Z413">
        <v>0.65900000000000003</v>
      </c>
      <c r="AA413">
        <v>0.80200000000000005</v>
      </c>
      <c r="AB413">
        <v>130</v>
      </c>
      <c r="AC413">
        <v>4.8</v>
      </c>
      <c r="AD413">
        <v>20.720220000000001</v>
      </c>
      <c r="AE413">
        <v>-77.046499999999995</v>
      </c>
      <c r="AF413">
        <v>-12.0931</v>
      </c>
      <c r="AG413" t="s">
        <v>57</v>
      </c>
      <c r="AH413" t="s">
        <v>58</v>
      </c>
      <c r="AI413">
        <v>5460.9359999999997</v>
      </c>
      <c r="AJ413">
        <v>6.3271920000000001</v>
      </c>
      <c r="AK413">
        <v>160000000000</v>
      </c>
      <c r="AL413">
        <v>32.309229999999999</v>
      </c>
      <c r="AM413">
        <v>20.720220000000001</v>
      </c>
      <c r="AN413">
        <v>-1.9642219999999999</v>
      </c>
      <c r="AO413">
        <v>56.480710000000002</v>
      </c>
      <c r="AP413">
        <v>55.988280000000003</v>
      </c>
      <c r="AQ413">
        <v>4.4726270000000001</v>
      </c>
      <c r="AR413">
        <v>10.362349999999999</v>
      </c>
      <c r="AS413">
        <v>2.0052669999999999</v>
      </c>
      <c r="AT413">
        <v>1.2149129999999999</v>
      </c>
      <c r="AU413">
        <v>2.2499999999999999E-4</v>
      </c>
      <c r="AV413">
        <v>1.2149129999999999</v>
      </c>
      <c r="AW413">
        <v>25.797260000000001</v>
      </c>
      <c r="AX413">
        <v>1.84</v>
      </c>
      <c r="AY413">
        <v>2.6353819279021802</v>
      </c>
      <c r="AZ413" s="1">
        <v>0.76950001716613803</v>
      </c>
      <c r="BA413" s="1">
        <v>0.124500006437302</v>
      </c>
      <c r="BB413" s="1">
        <v>0.89400005340576205</v>
      </c>
      <c r="BC413" s="1">
        <v>3.967136</v>
      </c>
      <c r="BD413" s="2">
        <v>55.988280283861002</v>
      </c>
      <c r="BE413" s="2">
        <f t="shared" si="12"/>
        <v>4.3154713468580042</v>
      </c>
      <c r="BF413" s="2">
        <f t="shared" si="13"/>
        <v>8.3515323351575859</v>
      </c>
      <c r="BG413">
        <v>99520</v>
      </c>
      <c r="BH413" s="3">
        <v>14154</v>
      </c>
      <c r="BI413">
        <v>16.580371576505868</v>
      </c>
      <c r="BJ413" s="3">
        <v>48766</v>
      </c>
      <c r="BK413">
        <v>6115</v>
      </c>
      <c r="BL413">
        <v>14.337295725774307</v>
      </c>
      <c r="BM413" s="3">
        <v>7339.6675999999998</v>
      </c>
      <c r="BN413">
        <v>678.68940000000021</v>
      </c>
      <c r="BO413">
        <v>8.4641953457547494</v>
      </c>
      <c r="BP413">
        <v>39788631642.524002</v>
      </c>
      <c r="BQ413">
        <v>3593841036.8307037</v>
      </c>
      <c r="BR413">
        <v>9.9291665366490793</v>
      </c>
      <c r="BS413">
        <v>0.16348460000000001</v>
      </c>
      <c r="BT413">
        <v>4.1734819999999999</v>
      </c>
      <c r="BU413">
        <v>1.67414976655505</v>
      </c>
    </row>
    <row r="414" spans="1:73" x14ac:dyDescent="0.2">
      <c r="A414">
        <v>356</v>
      </c>
      <c r="B414" t="s">
        <v>94</v>
      </c>
      <c r="C414">
        <v>2012</v>
      </c>
      <c r="D414">
        <v>15</v>
      </c>
      <c r="E414">
        <v>0</v>
      </c>
      <c r="F414" t="s">
        <v>95</v>
      </c>
      <c r="G414">
        <v>0.79774999999999996</v>
      </c>
      <c r="H414">
        <v>0</v>
      </c>
      <c r="I414">
        <v>2.1720000000000002</v>
      </c>
      <c r="J414">
        <v>2.4420000000000002</v>
      </c>
      <c r="K414">
        <v>3.2749999999999999</v>
      </c>
      <c r="L414">
        <v>3.4729999999999999</v>
      </c>
      <c r="M414">
        <v>1.365</v>
      </c>
      <c r="N414">
        <v>1.5029999999999999</v>
      </c>
      <c r="O414">
        <v>-0.33</v>
      </c>
      <c r="P414">
        <v>3.798</v>
      </c>
      <c r="Q414">
        <v>0</v>
      </c>
      <c r="R414">
        <v>10533</v>
      </c>
      <c r="S414">
        <v>5.2679999999999998</v>
      </c>
      <c r="T414">
        <v>3.66</v>
      </c>
      <c r="U414">
        <v>3.24</v>
      </c>
      <c r="V414">
        <v>44.4</v>
      </c>
      <c r="W414" t="s">
        <v>54</v>
      </c>
      <c r="X414" t="s">
        <v>55</v>
      </c>
      <c r="Y414" t="s">
        <v>59</v>
      </c>
      <c r="Z414">
        <v>0.67400000000000004</v>
      </c>
      <c r="AA414">
        <v>0.81</v>
      </c>
      <c r="AB414">
        <v>130</v>
      </c>
      <c r="AC414">
        <v>4.8</v>
      </c>
      <c r="AD414">
        <v>19.216660000000001</v>
      </c>
      <c r="AE414">
        <v>-77.046499999999995</v>
      </c>
      <c r="AF414">
        <v>-12.0931</v>
      </c>
      <c r="AG414" t="s">
        <v>57</v>
      </c>
      <c r="AH414" t="s">
        <v>58</v>
      </c>
      <c r="AI414">
        <v>5748.5910000000003</v>
      </c>
      <c r="AJ414">
        <v>6.1397250000000003</v>
      </c>
      <c r="AK414">
        <v>170000000000</v>
      </c>
      <c r="AL414">
        <v>34.043750000000003</v>
      </c>
      <c r="AM414">
        <v>19.216660000000001</v>
      </c>
      <c r="AN414">
        <v>-2.8856190000000002</v>
      </c>
      <c r="AO414">
        <v>55.847999999999999</v>
      </c>
      <c r="AP414">
        <v>52.619900000000001</v>
      </c>
      <c r="AQ414">
        <v>7.3617759999999999</v>
      </c>
      <c r="AR414">
        <v>10.87121</v>
      </c>
      <c r="AS414">
        <v>0.18746760000000001</v>
      </c>
      <c r="AT414">
        <v>1.297463</v>
      </c>
      <c r="AU414">
        <v>0.1089</v>
      </c>
      <c r="AV414">
        <v>1.297463</v>
      </c>
      <c r="AW414">
        <v>25.856839999999998</v>
      </c>
      <c r="AX414">
        <v>0.29000019999999999</v>
      </c>
      <c r="AY414">
        <v>2.3614419564872202</v>
      </c>
      <c r="AZ414" s="1">
        <v>0.76950001716613803</v>
      </c>
      <c r="BA414" s="1">
        <v>0.124500006437302</v>
      </c>
      <c r="BB414" s="1">
        <v>0.89400005340576205</v>
      </c>
      <c r="BC414" s="1">
        <v>3.967136</v>
      </c>
      <c r="BD414" s="2">
        <v>52.619895263228997</v>
      </c>
      <c r="BE414" s="2">
        <f t="shared" si="12"/>
        <v>3.3683850206320045</v>
      </c>
      <c r="BF414" s="2">
        <f t="shared" si="13"/>
        <v>6.0162323321135549</v>
      </c>
      <c r="BG414">
        <v>122734</v>
      </c>
      <c r="BH414" s="3">
        <v>23214</v>
      </c>
      <c r="BI414">
        <v>23.32596463022508</v>
      </c>
      <c r="BJ414" s="3">
        <v>57247</v>
      </c>
      <c r="BK414">
        <v>8481</v>
      </c>
      <c r="BL414">
        <v>17.391215190911701</v>
      </c>
      <c r="BM414" s="3">
        <v>11866.553</v>
      </c>
      <c r="BN414">
        <v>4526.8854000000001</v>
      </c>
      <c r="BO414">
        <v>61.676981121052407</v>
      </c>
      <c r="BP414">
        <v>45712859859.114098</v>
      </c>
      <c r="BQ414">
        <v>5924228216.5900955</v>
      </c>
      <c r="BR414">
        <v>14.889248441151695</v>
      </c>
      <c r="BS414">
        <v>0.5088606</v>
      </c>
      <c r="BT414">
        <v>1.6967509999999999</v>
      </c>
      <c r="BU414">
        <v>3.37090111995344</v>
      </c>
    </row>
    <row r="415" spans="1:73" x14ac:dyDescent="0.2">
      <c r="A415">
        <v>357</v>
      </c>
      <c r="B415" t="s">
        <v>94</v>
      </c>
      <c r="C415">
        <v>2013</v>
      </c>
      <c r="D415">
        <v>15</v>
      </c>
      <c r="E415">
        <v>0</v>
      </c>
      <c r="F415" t="s">
        <v>95</v>
      </c>
      <c r="G415">
        <v>0.79774999999999996</v>
      </c>
      <c r="H415">
        <v>0</v>
      </c>
      <c r="I415">
        <v>2.1720000000000002</v>
      </c>
      <c r="J415">
        <v>2.4420000000000002</v>
      </c>
      <c r="K415">
        <v>3.2749999999999999</v>
      </c>
      <c r="L415">
        <v>3.4729999999999999</v>
      </c>
      <c r="M415">
        <v>1.365</v>
      </c>
      <c r="N415">
        <v>1.5029999999999999</v>
      </c>
      <c r="O415">
        <v>-0.33</v>
      </c>
      <c r="P415">
        <v>3.3130000000000002</v>
      </c>
      <c r="Q415">
        <v>0</v>
      </c>
      <c r="R415">
        <v>11034</v>
      </c>
      <c r="S415">
        <v>4.9029999999999996</v>
      </c>
      <c r="T415">
        <v>2.81</v>
      </c>
      <c r="U415">
        <v>3.57</v>
      </c>
      <c r="V415">
        <v>43.9</v>
      </c>
      <c r="W415" t="s">
        <v>54</v>
      </c>
      <c r="X415" t="s">
        <v>55</v>
      </c>
      <c r="Y415" t="s">
        <v>59</v>
      </c>
      <c r="Z415">
        <v>0.67</v>
      </c>
      <c r="AA415">
        <v>0.80600000000000005</v>
      </c>
      <c r="AB415">
        <v>130</v>
      </c>
      <c r="AC415">
        <v>4.8</v>
      </c>
      <c r="AD415">
        <v>18.39442</v>
      </c>
      <c r="AE415">
        <v>-77.046499999999995</v>
      </c>
      <c r="AF415">
        <v>-12.0931</v>
      </c>
      <c r="AG415" t="s">
        <v>57</v>
      </c>
      <c r="AH415" t="s">
        <v>58</v>
      </c>
      <c r="AI415">
        <v>6030.42</v>
      </c>
      <c r="AJ415">
        <v>5.8525179999999999</v>
      </c>
      <c r="AK415">
        <v>180000000000</v>
      </c>
      <c r="AL415">
        <v>37.719929999999998</v>
      </c>
      <c r="AM415">
        <v>18.39442</v>
      </c>
      <c r="AN415">
        <v>-4.8671519999999999</v>
      </c>
      <c r="AO415">
        <v>55.26332</v>
      </c>
      <c r="AP415">
        <v>49.787140000000001</v>
      </c>
      <c r="AQ415">
        <v>4.7573509999999999</v>
      </c>
      <c r="AR415">
        <v>11.50093</v>
      </c>
      <c r="AS415">
        <v>0.28720659999999998</v>
      </c>
      <c r="AT415">
        <v>1.0331840000000001</v>
      </c>
      <c r="AU415">
        <v>0.1089</v>
      </c>
      <c r="AV415">
        <v>1.0331840000000001</v>
      </c>
      <c r="AW415">
        <v>25.913720000000001</v>
      </c>
      <c r="AX415">
        <v>0.85000010000000004</v>
      </c>
      <c r="AY415">
        <v>2.3614419564872202</v>
      </c>
      <c r="AZ415" s="1">
        <v>0.76950001716613803</v>
      </c>
      <c r="BA415" s="1">
        <v>0.124500006437302</v>
      </c>
      <c r="BB415" s="1">
        <v>0.89400005340576205</v>
      </c>
      <c r="BC415" s="1">
        <v>3.967136</v>
      </c>
      <c r="BD415" s="2">
        <v>49.787142447143999</v>
      </c>
      <c r="BE415" s="2">
        <f t="shared" si="12"/>
        <v>2.832752816084998</v>
      </c>
      <c r="BF415" s="2">
        <f t="shared" si="13"/>
        <v>5.3834254171625791</v>
      </c>
      <c r="BG415">
        <v>136976</v>
      </c>
      <c r="BH415" s="3">
        <v>14242</v>
      </c>
      <c r="BI415">
        <v>11.603956523864618</v>
      </c>
      <c r="BJ415" s="3">
        <v>62229</v>
      </c>
      <c r="BK415">
        <v>4982</v>
      </c>
      <c r="BL415">
        <v>8.7026394396212901</v>
      </c>
      <c r="BM415" s="3">
        <v>9333.6905000000006</v>
      </c>
      <c r="BN415">
        <v>2532.8624999999993</v>
      </c>
      <c r="BO415">
        <v>21.344551362135235</v>
      </c>
      <c r="BP415">
        <v>48171625395.625999</v>
      </c>
      <c r="BQ415">
        <v>2458765536.5119019</v>
      </c>
      <c r="BR415">
        <v>5.37871737644452</v>
      </c>
      <c r="BS415">
        <v>0.62971880000000002</v>
      </c>
      <c r="BT415">
        <v>1.0062739999999999</v>
      </c>
      <c r="BU415">
        <v>2.36462762805975</v>
      </c>
    </row>
    <row r="416" spans="1:73" x14ac:dyDescent="0.2">
      <c r="A416">
        <v>358</v>
      </c>
      <c r="B416" t="s">
        <v>94</v>
      </c>
      <c r="C416">
        <v>2014</v>
      </c>
      <c r="D416">
        <v>15</v>
      </c>
      <c r="E416">
        <v>0</v>
      </c>
      <c r="F416" t="s">
        <v>95</v>
      </c>
      <c r="G416">
        <v>0.79774999999999996</v>
      </c>
      <c r="H416">
        <v>0</v>
      </c>
      <c r="I416">
        <v>2.1720000000000002</v>
      </c>
      <c r="J416">
        <v>2.4420000000000002</v>
      </c>
      <c r="K416">
        <v>3.2749999999999999</v>
      </c>
      <c r="L416">
        <v>3.4729999999999999</v>
      </c>
      <c r="M416">
        <v>1.365</v>
      </c>
      <c r="N416">
        <v>1.5029999999999999</v>
      </c>
      <c r="O416">
        <v>-0.33</v>
      </c>
      <c r="P416">
        <v>3.3130000000000002</v>
      </c>
      <c r="Q416">
        <v>0</v>
      </c>
      <c r="R416">
        <v>11186</v>
      </c>
      <c r="S416">
        <v>1.306</v>
      </c>
      <c r="T416">
        <v>3.24</v>
      </c>
      <c r="U416">
        <v>3.21</v>
      </c>
      <c r="V416">
        <v>43.1</v>
      </c>
      <c r="W416" t="s">
        <v>54</v>
      </c>
      <c r="X416" t="s">
        <v>55</v>
      </c>
      <c r="Y416" t="s">
        <v>59</v>
      </c>
      <c r="Z416">
        <v>0.67300000000000004</v>
      </c>
      <c r="AA416">
        <v>0.80300000000000005</v>
      </c>
      <c r="AB416">
        <v>130</v>
      </c>
      <c r="AC416">
        <v>4.8</v>
      </c>
      <c r="AD416">
        <v>19.34366</v>
      </c>
      <c r="AE416">
        <v>-77.046499999999995</v>
      </c>
      <c r="AF416">
        <v>-12.0931</v>
      </c>
      <c r="AG416" t="s">
        <v>57</v>
      </c>
      <c r="AH416" t="s">
        <v>58</v>
      </c>
      <c r="AI416">
        <v>6109.1570000000002</v>
      </c>
      <c r="AJ416">
        <v>2.3821569999999999</v>
      </c>
      <c r="AK416">
        <v>184000000000</v>
      </c>
      <c r="AL416">
        <v>40.899630000000002</v>
      </c>
      <c r="AM416">
        <v>19.34366</v>
      </c>
      <c r="AN416">
        <v>-4.359839</v>
      </c>
      <c r="AO416">
        <v>54.903840000000002</v>
      </c>
      <c r="AP416">
        <v>46.853119999999997</v>
      </c>
      <c r="AQ416">
        <v>2.1229969999999998</v>
      </c>
      <c r="AR416">
        <v>12.402089999999999</v>
      </c>
      <c r="AS416">
        <v>3.470361</v>
      </c>
      <c r="AT416">
        <v>1.175573</v>
      </c>
      <c r="AU416">
        <v>0.1089</v>
      </c>
      <c r="AV416">
        <v>1.175573</v>
      </c>
      <c r="AW416">
        <v>25.937259999999998</v>
      </c>
      <c r="AX416">
        <v>0.4300001</v>
      </c>
      <c r="AY416">
        <v>2.3614419564872202</v>
      </c>
      <c r="AZ416" s="1">
        <v>0.76950001716613803</v>
      </c>
      <c r="BA416" s="1">
        <v>0.124500006437302</v>
      </c>
      <c r="BB416" s="1">
        <v>0.89400005340576205</v>
      </c>
      <c r="BC416" s="1">
        <v>3.967136</v>
      </c>
      <c r="BD416" s="2">
        <v>46.853121091289999</v>
      </c>
      <c r="BE416" s="2">
        <f t="shared" si="12"/>
        <v>2.934021355854</v>
      </c>
      <c r="BF416" s="2">
        <f t="shared" si="13"/>
        <v>5.8931306591232326</v>
      </c>
      <c r="BG416">
        <v>151549</v>
      </c>
      <c r="BH416" s="3">
        <v>14573</v>
      </c>
      <c r="BI416">
        <v>10.63909005957248</v>
      </c>
      <c r="BJ416" s="3">
        <v>68382</v>
      </c>
      <c r="BK416">
        <v>6153</v>
      </c>
      <c r="BL416">
        <v>9.8876729499108134</v>
      </c>
      <c r="BM416" s="3">
        <v>2823.1617000000001</v>
      </c>
      <c r="BN416">
        <v>6510.5288</v>
      </c>
      <c r="BO416">
        <v>69.752996416583557</v>
      </c>
      <c r="BP416">
        <v>47202575864.010399</v>
      </c>
      <c r="BQ416">
        <v>969049531.61560059</v>
      </c>
      <c r="BR416">
        <v>2.011660440470814</v>
      </c>
      <c r="BS416">
        <v>0.9011593</v>
      </c>
      <c r="BT416">
        <v>0.59182230000000002</v>
      </c>
      <c r="BU416">
        <v>1.7728053467136999</v>
      </c>
    </row>
    <row r="417" spans="1:73" x14ac:dyDescent="0.2">
      <c r="A417">
        <v>359</v>
      </c>
      <c r="B417" t="s">
        <v>94</v>
      </c>
      <c r="C417">
        <v>2015</v>
      </c>
      <c r="D417">
        <v>15</v>
      </c>
      <c r="E417">
        <v>0</v>
      </c>
      <c r="F417" t="s">
        <v>95</v>
      </c>
      <c r="G417">
        <v>0.79774999999999996</v>
      </c>
      <c r="H417">
        <v>0</v>
      </c>
      <c r="I417">
        <v>2.1720000000000002</v>
      </c>
      <c r="J417">
        <v>2.4420000000000002</v>
      </c>
      <c r="K417">
        <v>3.2749999999999999</v>
      </c>
      <c r="L417">
        <v>3.4729999999999999</v>
      </c>
      <c r="M417">
        <v>1.365</v>
      </c>
      <c r="N417">
        <v>1.5029999999999999</v>
      </c>
      <c r="O417">
        <v>-0.33</v>
      </c>
      <c r="P417">
        <v>3.988</v>
      </c>
      <c r="Q417">
        <v>1</v>
      </c>
      <c r="R417">
        <v>11445</v>
      </c>
      <c r="S417">
        <v>1.9630000000000001</v>
      </c>
      <c r="T417">
        <v>3.55</v>
      </c>
      <c r="U417">
        <v>3.27</v>
      </c>
      <c r="V417">
        <v>43.4</v>
      </c>
      <c r="W417" t="s">
        <v>54</v>
      </c>
      <c r="X417" t="s">
        <v>55</v>
      </c>
      <c r="Y417" t="s">
        <v>59</v>
      </c>
      <c r="Z417">
        <v>0.66500000000000004</v>
      </c>
      <c r="AA417">
        <v>0.79</v>
      </c>
      <c r="AB417">
        <v>130</v>
      </c>
      <c r="AC417">
        <v>4.8</v>
      </c>
      <c r="AD417">
        <v>22.578569999999999</v>
      </c>
      <c r="AE417">
        <v>-77.046499999999995</v>
      </c>
      <c r="AF417">
        <v>-12.0931</v>
      </c>
      <c r="AG417" t="s">
        <v>57</v>
      </c>
      <c r="AH417" t="s">
        <v>58</v>
      </c>
      <c r="AI417">
        <v>6229.1009999999997</v>
      </c>
      <c r="AJ417">
        <v>3.2522449999999998</v>
      </c>
      <c r="AK417">
        <v>190000000000</v>
      </c>
      <c r="AL417">
        <v>43.867930000000001</v>
      </c>
      <c r="AM417">
        <v>22.578569999999999</v>
      </c>
      <c r="AN417">
        <v>-4.7092580000000002</v>
      </c>
      <c r="AO417">
        <v>54.81626</v>
      </c>
      <c r="AP417">
        <v>45.162770000000002</v>
      </c>
      <c r="AQ417">
        <v>3.8654660000000001</v>
      </c>
      <c r="AR417">
        <v>12.96557</v>
      </c>
      <c r="AS417">
        <v>0.87008739999999996</v>
      </c>
      <c r="AT417">
        <v>1.266948</v>
      </c>
      <c r="AU417">
        <v>0.1089</v>
      </c>
      <c r="AV417">
        <v>1.266948</v>
      </c>
      <c r="AW417">
        <v>25.969259999999998</v>
      </c>
      <c r="AX417">
        <v>0.30999989999999999</v>
      </c>
      <c r="AY417">
        <v>2.3614419564872202</v>
      </c>
      <c r="AZ417" s="1">
        <v>0.76950001716613803</v>
      </c>
      <c r="BA417" s="1">
        <v>0.124500006437302</v>
      </c>
      <c r="BB417" s="1">
        <v>0.89400005340576205</v>
      </c>
      <c r="BC417" s="1">
        <v>3.967136</v>
      </c>
      <c r="BD417" s="2">
        <v>45.162768689114998</v>
      </c>
      <c r="BE417" s="2">
        <f t="shared" si="12"/>
        <v>1.6903524021750016</v>
      </c>
      <c r="BF417" s="2">
        <f t="shared" si="13"/>
        <v>3.6077690510339093</v>
      </c>
      <c r="BG417">
        <v>156170</v>
      </c>
      <c r="BH417" s="3">
        <v>4621</v>
      </c>
      <c r="BI417">
        <v>3.0491788134530746</v>
      </c>
      <c r="BJ417" s="3">
        <v>71324</v>
      </c>
      <c r="BK417">
        <v>2942</v>
      </c>
      <c r="BL417">
        <v>4.3023017753209913</v>
      </c>
      <c r="BM417" s="3">
        <v>8124.8873000000003</v>
      </c>
      <c r="BN417">
        <v>5301.7255999999998</v>
      </c>
      <c r="BO417">
        <v>187.79390496831971</v>
      </c>
      <c r="BP417">
        <v>43823326215.299599</v>
      </c>
      <c r="BQ417">
        <v>3379249648.7108002</v>
      </c>
      <c r="BR417">
        <v>7.1590365289520328</v>
      </c>
      <c r="BS417">
        <v>0.56348319999999996</v>
      </c>
      <c r="BT417">
        <v>0.5314257</v>
      </c>
      <c r="BU417">
        <v>1.24137960221096</v>
      </c>
    </row>
    <row r="418" spans="1:73" x14ac:dyDescent="0.2">
      <c r="A418">
        <v>360</v>
      </c>
      <c r="B418" t="s">
        <v>94</v>
      </c>
      <c r="C418">
        <v>2016</v>
      </c>
      <c r="D418">
        <v>15</v>
      </c>
      <c r="E418">
        <v>1</v>
      </c>
      <c r="F418" t="s">
        <v>95</v>
      </c>
      <c r="G418">
        <v>0.79774999999999996</v>
      </c>
      <c r="H418">
        <v>0</v>
      </c>
      <c r="I418">
        <v>2.1669999999999998</v>
      </c>
      <c r="J418">
        <v>2.1659999999999999</v>
      </c>
      <c r="K418">
        <v>3.2719999999999998</v>
      </c>
      <c r="L418">
        <v>3.2709999999999999</v>
      </c>
      <c r="M418">
        <v>1.0740000000000001</v>
      </c>
      <c r="N418">
        <v>1.1200000000000001</v>
      </c>
      <c r="O418">
        <v>0.67800000000000005</v>
      </c>
      <c r="P418">
        <v>4.5439999999999996</v>
      </c>
      <c r="Q418">
        <v>0</v>
      </c>
      <c r="R418">
        <v>11776</v>
      </c>
      <c r="S418">
        <v>2.423</v>
      </c>
      <c r="T418">
        <v>3.59</v>
      </c>
      <c r="U418">
        <v>3.74</v>
      </c>
      <c r="V418">
        <v>43.6</v>
      </c>
      <c r="W418" t="s">
        <v>54</v>
      </c>
      <c r="X418" t="s">
        <v>55</v>
      </c>
      <c r="Y418" t="s">
        <v>59</v>
      </c>
      <c r="Z418">
        <v>0.65200000000000002</v>
      </c>
      <c r="AA418">
        <v>0.77600000000000002</v>
      </c>
      <c r="AB418">
        <v>130</v>
      </c>
      <c r="AC418">
        <v>4.8</v>
      </c>
      <c r="AD418">
        <v>23.183250000000001</v>
      </c>
      <c r="AE418">
        <v>-77.046499999999995</v>
      </c>
      <c r="AF418">
        <v>-12.0931</v>
      </c>
      <c r="AG418" t="s">
        <v>57</v>
      </c>
      <c r="AH418" t="s">
        <v>58</v>
      </c>
      <c r="AI418">
        <v>6380.0259999999998</v>
      </c>
      <c r="AJ418">
        <v>3.953319</v>
      </c>
      <c r="AK418">
        <v>197000000000</v>
      </c>
      <c r="AL418">
        <v>42.809019999999997</v>
      </c>
      <c r="AM418">
        <v>23.183250000000001</v>
      </c>
      <c r="AN418">
        <v>-2.3019980000000002</v>
      </c>
      <c r="AO418">
        <v>53.040370000000003</v>
      </c>
      <c r="AP418">
        <v>45.388840000000002</v>
      </c>
      <c r="AQ418">
        <v>3.546322</v>
      </c>
      <c r="AR418">
        <v>13.163690000000001</v>
      </c>
      <c r="AS418">
        <v>0.70107390000000003</v>
      </c>
      <c r="AT418">
        <v>1.278152</v>
      </c>
      <c r="AU418">
        <v>0.45968399999999998</v>
      </c>
      <c r="AV418">
        <v>1.278152</v>
      </c>
      <c r="AW418">
        <v>26.008040000000001</v>
      </c>
      <c r="AX418">
        <v>0.04</v>
      </c>
      <c r="AY418">
        <v>3.1618230903604898</v>
      </c>
      <c r="AZ418" s="1">
        <v>0.91250002384185802</v>
      </c>
      <c r="BA418" s="1">
        <v>6.1999998986720997E-2</v>
      </c>
      <c r="BB418" s="1">
        <v>0.97450000047683705</v>
      </c>
      <c r="BC418" s="1">
        <v>2.7328589999999999</v>
      </c>
      <c r="BD418" s="2">
        <v>45.388841196415001</v>
      </c>
      <c r="BE418" s="2">
        <f t="shared" si="12"/>
        <v>0.22607250730000317</v>
      </c>
      <c r="BF418" s="2">
        <f t="shared" si="13"/>
        <v>0.50057273692897075</v>
      </c>
      <c r="BG418">
        <v>170211</v>
      </c>
      <c r="BH418" s="3">
        <v>14041</v>
      </c>
      <c r="BI418">
        <v>8.9908433117756292</v>
      </c>
      <c r="BJ418" s="3">
        <v>73805</v>
      </c>
      <c r="BK418">
        <v>2481</v>
      </c>
      <c r="BL418">
        <v>3.4784925130390891</v>
      </c>
      <c r="BM418" s="3">
        <v>5583.0898999999999</v>
      </c>
      <c r="BN418">
        <v>2541.7974000000004</v>
      </c>
      <c r="BO418">
        <v>31.284094242144139</v>
      </c>
      <c r="BP418">
        <v>41866779822.212502</v>
      </c>
      <c r="BQ418">
        <v>1956546393.0870972</v>
      </c>
      <c r="BR418">
        <v>4.4646232088244089</v>
      </c>
      <c r="BS418">
        <v>0.19811529999999999</v>
      </c>
      <c r="BT418">
        <v>0.67196449999999996</v>
      </c>
      <c r="BU418">
        <v>1.9133441631570101</v>
      </c>
    </row>
    <row r="419" spans="1:73" x14ac:dyDescent="0.2">
      <c r="A419">
        <v>361</v>
      </c>
      <c r="B419" t="s">
        <v>94</v>
      </c>
      <c r="C419">
        <v>2017</v>
      </c>
      <c r="D419">
        <v>15</v>
      </c>
      <c r="E419">
        <v>0</v>
      </c>
      <c r="F419" t="s">
        <v>95</v>
      </c>
      <c r="G419">
        <v>0.79774999999999996</v>
      </c>
      <c r="H419">
        <v>0</v>
      </c>
      <c r="I419">
        <v>2.1669999999999998</v>
      </c>
      <c r="J419">
        <v>2.1659999999999999</v>
      </c>
      <c r="K419">
        <v>3.2719999999999998</v>
      </c>
      <c r="L419">
        <v>3.2709999999999999</v>
      </c>
      <c r="M419">
        <v>1.0740000000000001</v>
      </c>
      <c r="N419">
        <v>1.1200000000000001</v>
      </c>
      <c r="O419">
        <v>0.80100000000000005</v>
      </c>
      <c r="P419">
        <v>5.141</v>
      </c>
      <c r="Q419">
        <v>0</v>
      </c>
      <c r="R419">
        <v>11952.5</v>
      </c>
      <c r="S419">
        <v>0.82899999999999996</v>
      </c>
      <c r="T419">
        <v>2.8</v>
      </c>
      <c r="U419">
        <v>3.69</v>
      </c>
      <c r="V419">
        <v>43.3</v>
      </c>
      <c r="W419" t="s">
        <v>54</v>
      </c>
      <c r="X419" t="s">
        <v>55</v>
      </c>
      <c r="Y419" t="s">
        <v>59</v>
      </c>
      <c r="Z419">
        <v>0.66100000000000003</v>
      </c>
      <c r="AA419">
        <v>0.77300000000000002</v>
      </c>
      <c r="AB419">
        <v>130</v>
      </c>
      <c r="AC419">
        <v>4.8</v>
      </c>
      <c r="AE419">
        <v>-77.046499999999995</v>
      </c>
      <c r="AF419">
        <v>-12.0931</v>
      </c>
      <c r="AG419" t="s">
        <v>57</v>
      </c>
      <c r="AH419" t="s">
        <v>58</v>
      </c>
      <c r="AI419">
        <v>6432.924</v>
      </c>
      <c r="AJ419">
        <v>2.5188359999999999</v>
      </c>
      <c r="AK419">
        <v>202000000000</v>
      </c>
      <c r="AL419">
        <v>42.414619999999999</v>
      </c>
      <c r="AN419">
        <v>-0.93095640000000002</v>
      </c>
      <c r="AO419">
        <v>51.91404</v>
      </c>
      <c r="AP419">
        <v>47.513550000000002</v>
      </c>
      <c r="AQ419">
        <v>3.5133450000000002</v>
      </c>
      <c r="AR419">
        <v>13.21228</v>
      </c>
      <c r="AS419">
        <v>1.434483</v>
      </c>
      <c r="AT419">
        <v>1.0296190000000001</v>
      </c>
      <c r="AU419">
        <v>0.64160099999999998</v>
      </c>
      <c r="AV419">
        <v>1.0296190000000001</v>
      </c>
      <c r="AW419">
        <v>26.032910000000001</v>
      </c>
      <c r="AX419">
        <v>0.79</v>
      </c>
      <c r="AY419">
        <v>3.25948864538669</v>
      </c>
      <c r="AZ419" s="1">
        <v>0.91250002384185802</v>
      </c>
      <c r="BA419" s="1">
        <v>6.1999998986720997E-2</v>
      </c>
      <c r="BB419" s="1">
        <v>0.97450000047683705</v>
      </c>
      <c r="BC419" s="1" t="s">
        <v>101</v>
      </c>
      <c r="BD419" s="2">
        <v>47.513550361996998</v>
      </c>
      <c r="BE419" s="2">
        <f t="shared" si="12"/>
        <v>2.1247091655819972</v>
      </c>
      <c r="BF419" s="2">
        <f t="shared" si="13"/>
        <v>4.6811267033400616</v>
      </c>
      <c r="BG419">
        <v>191499</v>
      </c>
      <c r="BH419" s="3">
        <v>21288</v>
      </c>
      <c r="BI419">
        <v>12.506829758358743</v>
      </c>
      <c r="BJ419" s="3">
        <v>81713</v>
      </c>
      <c r="BK419">
        <v>7908</v>
      </c>
      <c r="BL419">
        <v>10.714721224849265</v>
      </c>
      <c r="BM419" s="3">
        <v>6360.4233999999997</v>
      </c>
      <c r="BN419">
        <v>777.33349999999973</v>
      </c>
      <c r="BO419">
        <v>13.922998087492729</v>
      </c>
      <c r="BP419">
        <v>42405893625.348999</v>
      </c>
      <c r="BQ419">
        <v>539113803.1364975</v>
      </c>
      <c r="BR419">
        <v>1.2876887246304758</v>
      </c>
      <c r="BS419">
        <v>4.8586799999999999E-2</v>
      </c>
      <c r="BT419">
        <v>0.13218930000000001</v>
      </c>
      <c r="BU419">
        <v>2.0455334035614801</v>
      </c>
    </row>
    <row r="420" spans="1:73" x14ac:dyDescent="0.2">
      <c r="A420">
        <v>362</v>
      </c>
      <c r="B420" t="s">
        <v>94</v>
      </c>
      <c r="C420">
        <v>2018</v>
      </c>
      <c r="D420">
        <v>15</v>
      </c>
      <c r="E420">
        <v>0</v>
      </c>
      <c r="F420" t="s">
        <v>95</v>
      </c>
      <c r="G420">
        <v>0.79774999999999996</v>
      </c>
      <c r="H420">
        <v>0</v>
      </c>
      <c r="I420">
        <v>2.1669999999999998</v>
      </c>
      <c r="J420">
        <v>2.1659999999999999</v>
      </c>
      <c r="K420">
        <v>3.2719999999999998</v>
      </c>
      <c r="L420">
        <v>3.2709999999999999</v>
      </c>
      <c r="M420">
        <v>1.0740000000000001</v>
      </c>
      <c r="N420">
        <v>1.1200000000000001</v>
      </c>
      <c r="O420">
        <v>0.94799999999999995</v>
      </c>
      <c r="P420">
        <v>4.9290000000000003</v>
      </c>
      <c r="Q420">
        <v>0</v>
      </c>
      <c r="R420">
        <v>12310.1</v>
      </c>
      <c r="S420">
        <v>2.206</v>
      </c>
      <c r="T420">
        <v>1.32</v>
      </c>
      <c r="U420">
        <v>3.49</v>
      </c>
      <c r="V420">
        <v>42.4</v>
      </c>
      <c r="W420" t="s">
        <v>54</v>
      </c>
      <c r="X420" t="s">
        <v>55</v>
      </c>
      <c r="Y420" t="s">
        <v>59</v>
      </c>
      <c r="Z420">
        <v>0.67900000000000005</v>
      </c>
      <c r="AA420">
        <v>0.79200000000000004</v>
      </c>
      <c r="AB420">
        <v>130</v>
      </c>
      <c r="AC420">
        <v>4.8</v>
      </c>
      <c r="AE420">
        <v>-77.046499999999995</v>
      </c>
      <c r="AF420">
        <v>-12.0931</v>
      </c>
      <c r="AG420" t="s">
        <v>57</v>
      </c>
      <c r="AH420" t="s">
        <v>58</v>
      </c>
      <c r="AI420">
        <v>6574.3289999999997</v>
      </c>
      <c r="AJ420">
        <v>3.9693510000000001</v>
      </c>
      <c r="AK420">
        <v>210000000000</v>
      </c>
      <c r="AL420">
        <v>43.903939999999999</v>
      </c>
      <c r="AN420">
        <v>-1.300351</v>
      </c>
      <c r="AO420">
        <v>51.237870000000001</v>
      </c>
      <c r="AP420">
        <v>48.63147</v>
      </c>
      <c r="AQ420">
        <v>2.6382439999999998</v>
      </c>
      <c r="AR420">
        <v>13.077439999999999</v>
      </c>
      <c r="AS420">
        <v>1.4505159999999999</v>
      </c>
      <c r="AT420">
        <v>0.27763179999999998</v>
      </c>
      <c r="AU420">
        <v>0.89870410000000001</v>
      </c>
      <c r="AV420">
        <v>0.27763179999999998</v>
      </c>
      <c r="AW420">
        <v>26.071840000000002</v>
      </c>
      <c r="AX420">
        <v>1.48</v>
      </c>
      <c r="AY420">
        <v>3.3762108940765398</v>
      </c>
      <c r="AZ420" s="1">
        <v>0.91250002384185802</v>
      </c>
      <c r="BA420" s="1">
        <v>6.1999998986720997E-2</v>
      </c>
      <c r="BB420" s="1">
        <v>0.97450000047683705</v>
      </c>
      <c r="BC420" s="1" t="s">
        <v>101</v>
      </c>
      <c r="BD420" s="2">
        <v>48.631470171735998</v>
      </c>
      <c r="BE420" s="2">
        <f t="shared" si="12"/>
        <v>1.117919809739</v>
      </c>
      <c r="BF420" s="2">
        <f t="shared" si="13"/>
        <v>2.3528441912291855</v>
      </c>
      <c r="BG420">
        <v>214598</v>
      </c>
      <c r="BH420" s="3">
        <v>23099</v>
      </c>
      <c r="BI420">
        <v>12.062203980177442</v>
      </c>
      <c r="BJ420" s="3">
        <v>92248</v>
      </c>
      <c r="BK420">
        <v>10535</v>
      </c>
      <c r="BL420">
        <v>12.892685374420227</v>
      </c>
      <c r="BM420" s="3">
        <v>6831.2856000000002</v>
      </c>
      <c r="BN420">
        <v>470.86220000000048</v>
      </c>
      <c r="BO420">
        <v>7.403000875696427</v>
      </c>
      <c r="BP420">
        <v>44385781537.845703</v>
      </c>
      <c r="BQ420">
        <v>1979887912.4967041</v>
      </c>
      <c r="BR420">
        <v>4.6688979838245528</v>
      </c>
      <c r="BS420">
        <v>0.13483329999999999</v>
      </c>
      <c r="BT420">
        <v>0.31083909999999998</v>
      </c>
      <c r="BU420">
        <v>1.73469434223202</v>
      </c>
    </row>
    <row r="421" spans="1:73" x14ac:dyDescent="0.2">
      <c r="A421">
        <v>363</v>
      </c>
      <c r="B421" t="s">
        <v>94</v>
      </c>
      <c r="C421">
        <v>2019</v>
      </c>
      <c r="D421">
        <v>15</v>
      </c>
      <c r="E421">
        <v>0</v>
      </c>
      <c r="F421" t="s">
        <v>95</v>
      </c>
      <c r="G421">
        <v>0.79774999999999996</v>
      </c>
      <c r="H421">
        <v>0</v>
      </c>
      <c r="I421">
        <v>2.1669999999999998</v>
      </c>
      <c r="J421">
        <v>2.1659999999999999</v>
      </c>
      <c r="K421">
        <v>3.2719999999999998</v>
      </c>
      <c r="L421">
        <v>3.2709999999999999</v>
      </c>
      <c r="M421">
        <v>1.0740000000000001</v>
      </c>
      <c r="N421">
        <v>1.1200000000000001</v>
      </c>
      <c r="O421">
        <v>0.77900000000000003</v>
      </c>
      <c r="Q421">
        <v>0</v>
      </c>
      <c r="S421">
        <v>0.51200000000000001</v>
      </c>
      <c r="T421">
        <v>2.14</v>
      </c>
      <c r="U421">
        <v>3.38</v>
      </c>
      <c r="V421">
        <v>41.5</v>
      </c>
      <c r="W421" t="s">
        <v>54</v>
      </c>
      <c r="X421" t="s">
        <v>55</v>
      </c>
      <c r="Y421" t="s">
        <v>59</v>
      </c>
      <c r="Z421">
        <v>0.66200000000000003</v>
      </c>
      <c r="AA421">
        <v>0.78200000000000003</v>
      </c>
      <c r="AB421">
        <v>130</v>
      </c>
      <c r="AC421">
        <v>4.8</v>
      </c>
      <c r="AE421">
        <v>-77.046499999999995</v>
      </c>
      <c r="AF421">
        <v>-12.0931</v>
      </c>
      <c r="AG421" t="s">
        <v>57</v>
      </c>
      <c r="AH421" t="s">
        <v>58</v>
      </c>
      <c r="AI421">
        <v>6613.8760000000002</v>
      </c>
      <c r="AJ421">
        <v>2.2406320000000002</v>
      </c>
      <c r="AK421">
        <v>215000000000</v>
      </c>
      <c r="AL421">
        <v>44.724240000000002</v>
      </c>
      <c r="AN421">
        <v>-0.73599729999999997</v>
      </c>
      <c r="AO421">
        <v>50.711300000000001</v>
      </c>
      <c r="AP421">
        <v>46.9435</v>
      </c>
      <c r="AQ421">
        <v>2.084918</v>
      </c>
      <c r="AR421">
        <v>13.24437</v>
      </c>
      <c r="AS421">
        <v>1.7287189999999999</v>
      </c>
      <c r="AT421">
        <v>0.76080590000000003</v>
      </c>
      <c r="AU421">
        <v>0.60684099999999996</v>
      </c>
      <c r="AV421">
        <v>0.76080590000000003</v>
      </c>
      <c r="AW421">
        <v>26.094000000000001</v>
      </c>
      <c r="AX421">
        <v>0.82000010000000001</v>
      </c>
      <c r="AY421">
        <v>3.2420200095283498</v>
      </c>
      <c r="AZ421" s="1">
        <v>0.91250002384185802</v>
      </c>
      <c r="BA421" s="1">
        <v>6.1999998986720997E-2</v>
      </c>
      <c r="BB421" s="1">
        <v>0.97450000047683705</v>
      </c>
      <c r="BC421" s="1" t="s">
        <v>101</v>
      </c>
      <c r="BD421" s="2">
        <v>46.943505375440999</v>
      </c>
      <c r="BE421" s="2">
        <f t="shared" si="12"/>
        <v>1.6879647962949988</v>
      </c>
      <c r="BF421" s="2">
        <f t="shared" si="13"/>
        <v>3.47093104595473</v>
      </c>
      <c r="BG421">
        <v>236862</v>
      </c>
      <c r="BH421" s="3">
        <v>22264</v>
      </c>
      <c r="BI421">
        <v>10.374747201744658</v>
      </c>
      <c r="BJ421" s="3">
        <v>99448</v>
      </c>
      <c r="BK421">
        <v>7200</v>
      </c>
      <c r="BL421">
        <v>7.8050472638973201</v>
      </c>
      <c r="BM421" s="3">
        <v>5835.4188000000004</v>
      </c>
      <c r="BN421">
        <v>995.86679999999978</v>
      </c>
      <c r="BO421">
        <v>14.578029060884232</v>
      </c>
      <c r="BP421">
        <v>45652623679.992699</v>
      </c>
      <c r="BQ421">
        <v>1266842142.1469955</v>
      </c>
      <c r="BR421">
        <v>2.8541620722997023</v>
      </c>
      <c r="BS421">
        <v>0.1669302</v>
      </c>
      <c r="BT421">
        <v>0.17725879999999999</v>
      </c>
      <c r="BU421">
        <v>1.9119532499339</v>
      </c>
    </row>
    <row r="422" spans="1:73" x14ac:dyDescent="0.2">
      <c r="A422">
        <v>420</v>
      </c>
      <c r="B422" t="s">
        <v>96</v>
      </c>
      <c r="C422">
        <v>1992</v>
      </c>
      <c r="D422">
        <v>17</v>
      </c>
      <c r="E422">
        <v>0</v>
      </c>
      <c r="F422" t="s">
        <v>97</v>
      </c>
      <c r="G422">
        <v>0.18174999999999999</v>
      </c>
      <c r="H422">
        <v>1</v>
      </c>
      <c r="O422">
        <v>-2.1120000000000001</v>
      </c>
      <c r="Q422">
        <v>0</v>
      </c>
      <c r="R422">
        <v>11349.5</v>
      </c>
      <c r="S422">
        <v>7.1509999999999998</v>
      </c>
      <c r="T422">
        <v>68.459999999999994</v>
      </c>
      <c r="U422">
        <v>8.9600000000000009</v>
      </c>
      <c r="V422">
        <v>41.5</v>
      </c>
      <c r="W422" t="s">
        <v>54</v>
      </c>
      <c r="X422" t="s">
        <v>55</v>
      </c>
      <c r="Y422" t="s">
        <v>59</v>
      </c>
      <c r="Z422">
        <v>0.77</v>
      </c>
      <c r="AA422">
        <v>0.84499999999999997</v>
      </c>
      <c r="AB422">
        <v>99</v>
      </c>
      <c r="AC422">
        <v>5.2</v>
      </c>
      <c r="AD422">
        <v>23.604780000000002</v>
      </c>
      <c r="AE422">
        <v>-56.067500000000003</v>
      </c>
      <c r="AF422">
        <v>-34.894100000000002</v>
      </c>
      <c r="AG422" t="s">
        <v>70</v>
      </c>
      <c r="AH422" t="s">
        <v>58</v>
      </c>
      <c r="AI422">
        <v>8487.6090000000004</v>
      </c>
      <c r="AJ422">
        <v>7.9315889999999998</v>
      </c>
      <c r="AK422">
        <v>26800000000</v>
      </c>
      <c r="AL422">
        <v>25.319900000000001</v>
      </c>
      <c r="AM422">
        <v>23.604780000000002</v>
      </c>
      <c r="AN422">
        <v>-6.8177199999999993E-2</v>
      </c>
      <c r="AO422">
        <v>60.369689999999999</v>
      </c>
      <c r="AP422">
        <v>40.073039999999999</v>
      </c>
      <c r="AQ422">
        <v>8.7745199999999995E-2</v>
      </c>
      <c r="AR422">
        <v>11.58408</v>
      </c>
      <c r="AT422">
        <v>4.2262500000000003</v>
      </c>
      <c r="AU422">
        <v>4.4605439999999996</v>
      </c>
      <c r="AV422">
        <v>4.2262500000000003</v>
      </c>
      <c r="AW422">
        <v>24.01069</v>
      </c>
      <c r="AY422">
        <v>0.94648245196125103</v>
      </c>
      <c r="AZ422" s="1">
        <v>0.27200001478195202</v>
      </c>
      <c r="BA422" s="1">
        <v>7.4000000953674303E-2</v>
      </c>
      <c r="BB422" s="1">
        <v>0.346000015735626</v>
      </c>
      <c r="BC422" s="1">
        <v>3.3302752999999998</v>
      </c>
      <c r="BD422" s="2">
        <v>42.890977803858</v>
      </c>
      <c r="BE422" s="2"/>
      <c r="BF422" s="2"/>
      <c r="BH422" s="3"/>
      <c r="BM422" s="3">
        <v>0</v>
      </c>
      <c r="BN422">
        <v>0</v>
      </c>
      <c r="BO422" t="e">
        <v>#DIV/0!</v>
      </c>
      <c r="BP422">
        <v>4293695363.4780402</v>
      </c>
      <c r="BQ422">
        <v>637661267.05220032</v>
      </c>
      <c r="BR422">
        <v>17.441338079302422</v>
      </c>
      <c r="BU422">
        <v>1.8620659460918201</v>
      </c>
    </row>
    <row r="423" spans="1:73" x14ac:dyDescent="0.2">
      <c r="A423">
        <v>421</v>
      </c>
      <c r="B423" t="s">
        <v>96</v>
      </c>
      <c r="C423">
        <v>1993</v>
      </c>
      <c r="D423">
        <v>17</v>
      </c>
      <c r="E423">
        <v>0</v>
      </c>
      <c r="F423" t="s">
        <v>97</v>
      </c>
      <c r="G423">
        <v>0.18174999999999999</v>
      </c>
      <c r="H423">
        <v>0</v>
      </c>
      <c r="O423">
        <v>-2.1120000000000001</v>
      </c>
      <c r="Q423">
        <v>0</v>
      </c>
      <c r="R423">
        <v>11581.7</v>
      </c>
      <c r="S423">
        <v>1.905</v>
      </c>
      <c r="T423">
        <v>54.1</v>
      </c>
      <c r="U423">
        <v>8.35</v>
      </c>
      <c r="W423" t="s">
        <v>54</v>
      </c>
      <c r="X423" t="s">
        <v>55</v>
      </c>
      <c r="Y423" t="s">
        <v>59</v>
      </c>
      <c r="Z423">
        <v>0.77</v>
      </c>
      <c r="AA423">
        <v>0.84499999999999997</v>
      </c>
      <c r="AB423">
        <v>99</v>
      </c>
      <c r="AC423">
        <v>5.2</v>
      </c>
      <c r="AD423">
        <v>21.87914</v>
      </c>
      <c r="AE423">
        <v>-56.067500000000003</v>
      </c>
      <c r="AF423">
        <v>-34.894100000000002</v>
      </c>
      <c r="AG423" t="s">
        <v>70</v>
      </c>
      <c r="AH423" t="s">
        <v>58</v>
      </c>
      <c r="AI423">
        <v>8649.3529999999992</v>
      </c>
      <c r="AJ423">
        <v>2.657546</v>
      </c>
      <c r="AK423">
        <v>27500000000</v>
      </c>
      <c r="AL423">
        <v>24.863479999999999</v>
      </c>
      <c r="AM423">
        <v>21.87914</v>
      </c>
      <c r="AN423">
        <v>-1.6250389999999999</v>
      </c>
      <c r="AO423">
        <v>60.152470000000001</v>
      </c>
      <c r="AP423">
        <v>38.68497</v>
      </c>
      <c r="AQ423">
        <v>0.6765717</v>
      </c>
      <c r="AR423">
        <v>12.17545</v>
      </c>
      <c r="AS423">
        <v>5.2740429999999998</v>
      </c>
      <c r="AT423">
        <v>3.990834</v>
      </c>
      <c r="AU423">
        <v>4.4605439999999996</v>
      </c>
      <c r="AV423">
        <v>3.990834</v>
      </c>
      <c r="AW423">
        <v>24.036919999999999</v>
      </c>
      <c r="AX423">
        <v>14.36</v>
      </c>
      <c r="AY423">
        <v>0.94648245196125103</v>
      </c>
      <c r="AZ423" s="1">
        <v>0.27200001478195202</v>
      </c>
      <c r="BA423" s="1">
        <v>7.4000000953674303E-2</v>
      </c>
      <c r="BB423" s="1">
        <v>0.346000015735626</v>
      </c>
      <c r="BC423" s="1">
        <v>3.3302752999999998</v>
      </c>
      <c r="BD423" s="2">
        <v>41.407286124888003</v>
      </c>
      <c r="BE423" s="2">
        <f t="shared" si="12"/>
        <v>1.483691678969997</v>
      </c>
      <c r="BF423" s="2">
        <f t="shared" si="13"/>
        <v>3.4592162616459174</v>
      </c>
      <c r="BH423" s="3"/>
      <c r="BM423" s="3">
        <v>101.5</v>
      </c>
      <c r="BN423">
        <v>101.5</v>
      </c>
      <c r="BO423" t="e">
        <v>#DIV/0!</v>
      </c>
      <c r="BP423">
        <v>4921252832.6586905</v>
      </c>
      <c r="BQ423">
        <v>627557469.18065023</v>
      </c>
      <c r="BR423">
        <v>14.615789338913585</v>
      </c>
      <c r="BS423">
        <v>0.59137150000000005</v>
      </c>
      <c r="BT423">
        <v>5.2893400000000002</v>
      </c>
      <c r="BU423">
        <v>7.15140516255856</v>
      </c>
    </row>
    <row r="424" spans="1:73" x14ac:dyDescent="0.2">
      <c r="A424">
        <v>422</v>
      </c>
      <c r="B424" t="s">
        <v>96</v>
      </c>
      <c r="C424">
        <v>1994</v>
      </c>
      <c r="D424">
        <v>17</v>
      </c>
      <c r="E424">
        <v>0</v>
      </c>
      <c r="F424" t="s">
        <v>97</v>
      </c>
      <c r="G424">
        <v>0.18174999999999999</v>
      </c>
      <c r="H424">
        <v>0</v>
      </c>
      <c r="O424">
        <v>-2.1120000000000001</v>
      </c>
      <c r="Q424">
        <v>1</v>
      </c>
      <c r="R424">
        <v>12344.2</v>
      </c>
      <c r="S424">
        <v>6.4969999999999999</v>
      </c>
      <c r="T424">
        <v>44.74</v>
      </c>
      <c r="U424">
        <v>9.0399999999999991</v>
      </c>
      <c r="W424" t="s">
        <v>54</v>
      </c>
      <c r="X424" t="s">
        <v>55</v>
      </c>
      <c r="Y424" t="s">
        <v>59</v>
      </c>
      <c r="Z424">
        <v>0.76800000000000002</v>
      </c>
      <c r="AA424">
        <v>0.84499999999999997</v>
      </c>
      <c r="AB424">
        <v>99</v>
      </c>
      <c r="AC424">
        <v>5.2</v>
      </c>
      <c r="AD424">
        <v>24.530190000000001</v>
      </c>
      <c r="AE424">
        <v>-56.067500000000003</v>
      </c>
      <c r="AF424">
        <v>-34.894100000000002</v>
      </c>
      <c r="AG424" t="s">
        <v>70</v>
      </c>
      <c r="AH424" t="s">
        <v>58</v>
      </c>
      <c r="AI424">
        <v>9211.27</v>
      </c>
      <c r="AJ424">
        <v>7.2813429999999997</v>
      </c>
      <c r="AK424">
        <v>29500000000</v>
      </c>
      <c r="AL424">
        <v>23.855799999999999</v>
      </c>
      <c r="AM424">
        <v>24.530190000000001</v>
      </c>
      <c r="AN424">
        <v>-2.5082049999999998</v>
      </c>
      <c r="AO424">
        <v>59.976100000000002</v>
      </c>
      <c r="AP424">
        <v>40.148829999999997</v>
      </c>
      <c r="AQ424">
        <v>0.88413799999999998</v>
      </c>
      <c r="AR424">
        <v>11.871460000000001</v>
      </c>
      <c r="AS424">
        <v>4.6237959999999996</v>
      </c>
      <c r="AT424">
        <v>3.8008679999999999</v>
      </c>
      <c r="AU424">
        <v>4.4605439999999996</v>
      </c>
      <c r="AV424">
        <v>3.8008679999999999</v>
      </c>
      <c r="AW424">
        <v>24.107199999999999</v>
      </c>
      <c r="AX424">
        <v>9.3599969999999999</v>
      </c>
      <c r="AY424">
        <v>0.94648245196125103</v>
      </c>
      <c r="AZ424" s="1">
        <v>7.2500005364418002E-2</v>
      </c>
      <c r="BA424" s="1">
        <v>9.6499994397163405E-2</v>
      </c>
      <c r="BB424" s="1">
        <v>0.168999999761581</v>
      </c>
      <c r="BC424" s="1">
        <v>3.3302752999999998</v>
      </c>
      <c r="BD424" s="2">
        <v>42.974437392195</v>
      </c>
      <c r="BE424" s="2">
        <f t="shared" si="12"/>
        <v>1.5671512673069969</v>
      </c>
      <c r="BF424" s="2">
        <f t="shared" si="13"/>
        <v>3.7847234483813583</v>
      </c>
      <c r="BH424" s="3"/>
      <c r="BM424" s="3">
        <v>154.5</v>
      </c>
      <c r="BN424">
        <v>53</v>
      </c>
      <c r="BO424">
        <v>52.216748768472904</v>
      </c>
      <c r="BP424">
        <v>5235797403.3091097</v>
      </c>
      <c r="BQ424">
        <v>314544570.65041924</v>
      </c>
      <c r="BR424">
        <v>6.3915547797711421</v>
      </c>
      <c r="BS424">
        <v>0.30399320000000002</v>
      </c>
      <c r="BT424">
        <v>5.2457640000000003</v>
      </c>
      <c r="BU424">
        <v>1.9056410118327001</v>
      </c>
    </row>
    <row r="425" spans="1:73" x14ac:dyDescent="0.2">
      <c r="A425">
        <v>423</v>
      </c>
      <c r="B425" t="s">
        <v>96</v>
      </c>
      <c r="C425">
        <v>1995</v>
      </c>
      <c r="D425">
        <v>17</v>
      </c>
      <c r="E425">
        <v>1</v>
      </c>
      <c r="F425" t="s">
        <v>97</v>
      </c>
      <c r="G425">
        <v>0.71174999999999999</v>
      </c>
      <c r="H425">
        <v>0</v>
      </c>
      <c r="I425">
        <v>0.73499999999999999</v>
      </c>
      <c r="J425">
        <v>0.747</v>
      </c>
      <c r="K425">
        <v>1.905</v>
      </c>
      <c r="L425">
        <v>1.92</v>
      </c>
      <c r="M425">
        <v>0.78300000000000003</v>
      </c>
      <c r="N425">
        <v>0.79500000000000004</v>
      </c>
      <c r="O425">
        <v>-2.1120000000000001</v>
      </c>
      <c r="P425">
        <v>4.5519999999999996</v>
      </c>
      <c r="Q425">
        <v>0</v>
      </c>
      <c r="R425">
        <v>12092.6</v>
      </c>
      <c r="S425">
        <v>-2.1549999999999998</v>
      </c>
      <c r="T425">
        <v>42.25</v>
      </c>
      <c r="U425">
        <v>10.02</v>
      </c>
      <c r="V425">
        <v>40.9</v>
      </c>
      <c r="W425" t="s">
        <v>54</v>
      </c>
      <c r="X425" t="s">
        <v>55</v>
      </c>
      <c r="Y425" t="s">
        <v>59</v>
      </c>
      <c r="Z425">
        <v>0.79200000000000004</v>
      </c>
      <c r="AA425">
        <v>0.87</v>
      </c>
      <c r="AB425">
        <v>99</v>
      </c>
      <c r="AC425">
        <v>5.2</v>
      </c>
      <c r="AE425">
        <v>-56.067500000000003</v>
      </c>
      <c r="AF425">
        <v>-34.894100000000002</v>
      </c>
      <c r="AG425" t="s">
        <v>70</v>
      </c>
      <c r="AH425" t="s">
        <v>58</v>
      </c>
      <c r="AI425">
        <v>9012.8150000000005</v>
      </c>
      <c r="AJ425">
        <v>-1.4475990000000001</v>
      </c>
      <c r="AK425">
        <v>29100000000</v>
      </c>
      <c r="AL425">
        <v>26.438220000000001</v>
      </c>
      <c r="AN425">
        <v>-1.10117</v>
      </c>
      <c r="AO425">
        <v>59.90099</v>
      </c>
      <c r="AP425">
        <v>38.097679999999997</v>
      </c>
      <c r="AQ425">
        <v>0.81149720000000003</v>
      </c>
      <c r="AR425">
        <v>11.8392</v>
      </c>
      <c r="AS425">
        <v>8.7289410000000007</v>
      </c>
      <c r="AT425">
        <v>3.7436039999999999</v>
      </c>
      <c r="AU425">
        <v>4.4605439999999996</v>
      </c>
      <c r="AV425">
        <v>3.7436039999999999</v>
      </c>
      <c r="AW425">
        <v>24.09262</v>
      </c>
      <c r="AX425">
        <v>2.490002</v>
      </c>
      <c r="AY425">
        <v>0.94648245196125103</v>
      </c>
      <c r="AZ425" s="1">
        <v>7.2500005364418002E-2</v>
      </c>
      <c r="BA425" s="1">
        <v>9.6499994397163405E-2</v>
      </c>
      <c r="BB425" s="1">
        <v>0.168999999761581</v>
      </c>
      <c r="BC425" s="1">
        <v>3.2988894000000002</v>
      </c>
      <c r="BD425" s="2">
        <v>40.778141011229003</v>
      </c>
      <c r="BE425" s="2">
        <f t="shared" si="12"/>
        <v>2.1962963809659968</v>
      </c>
      <c r="BF425" s="2">
        <f t="shared" si="13"/>
        <v>5.1107042098586897</v>
      </c>
      <c r="BH425" s="3"/>
      <c r="BM425" s="3">
        <v>156.6</v>
      </c>
      <c r="BN425">
        <v>2.0999999999999943</v>
      </c>
      <c r="BO425">
        <v>1.3592233009708701</v>
      </c>
      <c r="BP425">
        <v>4964341185.8777704</v>
      </c>
      <c r="BQ425">
        <v>271456217.43133926</v>
      </c>
      <c r="BR425">
        <v>5.1846203456950892</v>
      </c>
      <c r="BS425">
        <v>3.2254199999999997E-2</v>
      </c>
      <c r="BT425">
        <v>4.590986</v>
      </c>
      <c r="BU425">
        <v>6.4966267067888701</v>
      </c>
    </row>
    <row r="426" spans="1:73" x14ac:dyDescent="0.2">
      <c r="A426">
        <v>424</v>
      </c>
      <c r="B426" t="s">
        <v>96</v>
      </c>
      <c r="C426">
        <v>1996</v>
      </c>
      <c r="D426">
        <v>17</v>
      </c>
      <c r="E426">
        <v>0</v>
      </c>
      <c r="F426" t="s">
        <v>97</v>
      </c>
      <c r="G426">
        <v>0.71174999999999999</v>
      </c>
      <c r="H426">
        <v>1</v>
      </c>
      <c r="I426">
        <v>0.73499999999999999</v>
      </c>
      <c r="J426">
        <v>0.747</v>
      </c>
      <c r="K426">
        <v>1.905</v>
      </c>
      <c r="L426">
        <v>1.92</v>
      </c>
      <c r="M426">
        <v>0.78300000000000003</v>
      </c>
      <c r="N426">
        <v>0.79500000000000004</v>
      </c>
      <c r="O426">
        <v>-2.7829999999999999</v>
      </c>
      <c r="P426">
        <v>4.9969999999999999</v>
      </c>
      <c r="Q426">
        <v>0</v>
      </c>
      <c r="R426">
        <v>12660.2</v>
      </c>
      <c r="S426">
        <v>4.827</v>
      </c>
      <c r="T426">
        <v>28.34</v>
      </c>
      <c r="U426">
        <v>11.93</v>
      </c>
      <c r="V426">
        <v>40.799999999999997</v>
      </c>
      <c r="W426" t="s">
        <v>54</v>
      </c>
      <c r="X426" t="s">
        <v>55</v>
      </c>
      <c r="Y426" t="s">
        <v>59</v>
      </c>
      <c r="Z426">
        <v>0.79500000000000004</v>
      </c>
      <c r="AA426">
        <v>0.87</v>
      </c>
      <c r="AB426">
        <v>99</v>
      </c>
      <c r="AC426">
        <v>5.2</v>
      </c>
      <c r="AE426">
        <v>-56.067500000000003</v>
      </c>
      <c r="AF426">
        <v>-34.894100000000002</v>
      </c>
      <c r="AG426" t="s">
        <v>70</v>
      </c>
      <c r="AH426" t="s">
        <v>58</v>
      </c>
      <c r="AI426">
        <v>9447.8349999999991</v>
      </c>
      <c r="AJ426">
        <v>5.5779579999999997</v>
      </c>
      <c r="AK426">
        <v>30700000000</v>
      </c>
      <c r="AL426">
        <v>26.807700000000001</v>
      </c>
      <c r="AN426">
        <v>-1.1376740000000001</v>
      </c>
      <c r="AO426">
        <v>60.04177</v>
      </c>
      <c r="AP426">
        <v>39.52843</v>
      </c>
      <c r="AQ426">
        <v>0.6668115</v>
      </c>
      <c r="AR426">
        <v>12.81099</v>
      </c>
      <c r="AS426">
        <v>7.0255570000000001</v>
      </c>
      <c r="AT426">
        <v>3.344274</v>
      </c>
      <c r="AU426">
        <v>7.7450890000000001</v>
      </c>
      <c r="AV426">
        <v>3.344274</v>
      </c>
      <c r="AW426">
        <v>24.146899999999999</v>
      </c>
      <c r="AX426">
        <v>13.91</v>
      </c>
      <c r="AY426">
        <v>0.41368905828172098</v>
      </c>
      <c r="AZ426" s="1">
        <v>7.2500005364418002E-2</v>
      </c>
      <c r="BA426" s="1">
        <v>9.6499994397163405E-2</v>
      </c>
      <c r="BB426" s="1">
        <v>0.168999999761581</v>
      </c>
      <c r="BC426" s="1">
        <v>3.2988894000000002</v>
      </c>
      <c r="BD426" s="2">
        <v>42.309699442609002</v>
      </c>
      <c r="BE426" s="2">
        <f t="shared" si="12"/>
        <v>1.5315584313799988</v>
      </c>
      <c r="BF426" s="2">
        <f t="shared" si="13"/>
        <v>3.7558319074875341</v>
      </c>
      <c r="BH426" s="3"/>
      <c r="BM426" s="3">
        <v>136.80000000000001</v>
      </c>
      <c r="BN426">
        <v>19.799999999999983</v>
      </c>
      <c r="BO426">
        <v>12.64367816091953</v>
      </c>
      <c r="BP426">
        <v>5466817863.7825699</v>
      </c>
      <c r="BQ426">
        <v>502476677.90479946</v>
      </c>
      <c r="BR426">
        <v>10.121719259228433</v>
      </c>
      <c r="BS426">
        <v>0.9717846</v>
      </c>
      <c r="BT426">
        <v>8.6510899999999999</v>
      </c>
      <c r="BU426">
        <v>-2.15446262860219</v>
      </c>
    </row>
    <row r="427" spans="1:73" x14ac:dyDescent="0.2">
      <c r="A427">
        <v>425</v>
      </c>
      <c r="B427" t="s">
        <v>96</v>
      </c>
      <c r="C427">
        <v>1997</v>
      </c>
      <c r="D427">
        <v>17</v>
      </c>
      <c r="E427">
        <v>0</v>
      </c>
      <c r="F427" t="s">
        <v>97</v>
      </c>
      <c r="G427">
        <v>0.58425000000000005</v>
      </c>
      <c r="H427">
        <v>1</v>
      </c>
      <c r="I427">
        <v>0.73499999999999999</v>
      </c>
      <c r="J427">
        <v>0.747</v>
      </c>
      <c r="K427">
        <v>1.905</v>
      </c>
      <c r="L427">
        <v>1.92</v>
      </c>
      <c r="M427">
        <v>0.78300000000000003</v>
      </c>
      <c r="N427">
        <v>0.79500000000000004</v>
      </c>
      <c r="O427">
        <v>-2.7829999999999999</v>
      </c>
      <c r="P427">
        <v>4.5839999999999996</v>
      </c>
      <c r="Q427">
        <v>0</v>
      </c>
      <c r="R427">
        <v>13226.5</v>
      </c>
      <c r="S427">
        <v>7.7910000000000004</v>
      </c>
      <c r="T427">
        <v>19.82</v>
      </c>
      <c r="U427">
        <v>11.44</v>
      </c>
      <c r="V427">
        <v>41.5</v>
      </c>
      <c r="W427" t="s">
        <v>54</v>
      </c>
      <c r="X427" t="s">
        <v>55</v>
      </c>
      <c r="Y427" t="s">
        <v>59</v>
      </c>
      <c r="Z427">
        <v>0.79400000000000004</v>
      </c>
      <c r="AA427">
        <v>0.87</v>
      </c>
      <c r="AB427">
        <v>99</v>
      </c>
      <c r="AC427">
        <v>5.2</v>
      </c>
      <c r="AE427">
        <v>-56.067500000000003</v>
      </c>
      <c r="AF427">
        <v>-34.894100000000002</v>
      </c>
      <c r="AG427" t="s">
        <v>70</v>
      </c>
      <c r="AH427" t="s">
        <v>58</v>
      </c>
      <c r="AI427">
        <v>10183.98</v>
      </c>
      <c r="AJ427">
        <v>8.5476829999999993</v>
      </c>
      <c r="AK427">
        <v>33300000000</v>
      </c>
      <c r="AL427">
        <v>25.90578</v>
      </c>
      <c r="AN427">
        <v>-1.1990080000000001</v>
      </c>
      <c r="AO427">
        <v>60.202370000000002</v>
      </c>
      <c r="AP427">
        <v>37.706400000000002</v>
      </c>
      <c r="AQ427">
        <v>0.47226050000000003</v>
      </c>
      <c r="AR427">
        <v>11.04163</v>
      </c>
      <c r="AS427">
        <v>2.9697249999999999</v>
      </c>
      <c r="AT427">
        <v>2.986691</v>
      </c>
      <c r="AU427">
        <v>7.7450890000000001</v>
      </c>
      <c r="AV427">
        <v>2.986691</v>
      </c>
      <c r="AW427">
        <v>24.228919999999999</v>
      </c>
      <c r="AX427">
        <v>8.52</v>
      </c>
      <c r="AY427">
        <v>0.41368905828172098</v>
      </c>
      <c r="AZ427" s="1">
        <v>7.2500005364418002E-2</v>
      </c>
      <c r="BA427" s="1">
        <v>9.6499994397163405E-2</v>
      </c>
      <c r="BB427" s="1">
        <v>0.168999999761581</v>
      </c>
      <c r="BC427" s="1">
        <v>3.2988894000000002</v>
      </c>
      <c r="BD427" s="2">
        <v>43.977407686437999</v>
      </c>
      <c r="BE427" s="2">
        <f t="shared" si="12"/>
        <v>1.6677082438289972</v>
      </c>
      <c r="BF427" s="2">
        <f t="shared" si="13"/>
        <v>3.9416688508769964</v>
      </c>
      <c r="BH427" s="3"/>
      <c r="BM427" s="3">
        <v>113.2</v>
      </c>
      <c r="BN427">
        <v>23.600000000000009</v>
      </c>
      <c r="BO427">
        <v>17.251461988304097</v>
      </c>
      <c r="BP427">
        <v>6019166153.0199699</v>
      </c>
      <c r="BQ427">
        <v>552348289.23740005</v>
      </c>
      <c r="BR427">
        <v>10.103652673279704</v>
      </c>
      <c r="BS427">
        <v>1.76936</v>
      </c>
      <c r="BT427">
        <v>6.9811399999999999</v>
      </c>
      <c r="BU427">
        <v>4.8266772872387902</v>
      </c>
    </row>
    <row r="428" spans="1:73" x14ac:dyDescent="0.2">
      <c r="A428">
        <v>426</v>
      </c>
      <c r="B428" t="s">
        <v>96</v>
      </c>
      <c r="C428">
        <v>1998</v>
      </c>
      <c r="D428">
        <v>17</v>
      </c>
      <c r="E428">
        <v>0</v>
      </c>
      <c r="F428" t="s">
        <v>97</v>
      </c>
      <c r="G428">
        <v>0.58425000000000005</v>
      </c>
      <c r="H428">
        <v>0</v>
      </c>
      <c r="I428">
        <v>0.73499999999999999</v>
      </c>
      <c r="J428">
        <v>0.747</v>
      </c>
      <c r="K428">
        <v>1.905</v>
      </c>
      <c r="L428">
        <v>1.92</v>
      </c>
      <c r="M428">
        <v>0.78300000000000003</v>
      </c>
      <c r="N428">
        <v>0.79500000000000004</v>
      </c>
      <c r="O428">
        <v>-2.7829999999999999</v>
      </c>
      <c r="P428">
        <v>4.6029999999999998</v>
      </c>
      <c r="Q428">
        <v>0</v>
      </c>
      <c r="R428">
        <v>13744.3</v>
      </c>
      <c r="S428">
        <v>3.855</v>
      </c>
      <c r="T428">
        <v>10.81</v>
      </c>
      <c r="U428">
        <v>9.36</v>
      </c>
      <c r="V428">
        <v>42.5</v>
      </c>
      <c r="W428" t="s">
        <v>54</v>
      </c>
      <c r="X428" t="s">
        <v>55</v>
      </c>
      <c r="Y428" t="s">
        <v>59</v>
      </c>
      <c r="Z428">
        <v>0.80700000000000005</v>
      </c>
      <c r="AA428">
        <v>0.88100000000000001</v>
      </c>
      <c r="AB428">
        <v>99</v>
      </c>
      <c r="AC428">
        <v>5.2</v>
      </c>
      <c r="AE428">
        <v>-56.067500000000003</v>
      </c>
      <c r="AF428">
        <v>-34.894100000000002</v>
      </c>
      <c r="AG428" t="s">
        <v>70</v>
      </c>
      <c r="AH428" t="s">
        <v>58</v>
      </c>
      <c r="AI428">
        <v>10576.61</v>
      </c>
      <c r="AJ428">
        <v>4.5188899999999999</v>
      </c>
      <c r="AK428">
        <v>34800000000</v>
      </c>
      <c r="AL428">
        <v>40.521270000000001</v>
      </c>
      <c r="AN428">
        <v>-1.8730850000000001</v>
      </c>
      <c r="AO428">
        <v>60.35371</v>
      </c>
      <c r="AP428">
        <v>35.640009999999997</v>
      </c>
      <c r="AQ428">
        <v>0.64642109999999997</v>
      </c>
      <c r="AR428">
        <v>10.89804</v>
      </c>
      <c r="AS428">
        <v>4.0287930000000003</v>
      </c>
      <c r="AT428">
        <v>2.3804720000000001</v>
      </c>
      <c r="AU428">
        <v>7.7450890000000001</v>
      </c>
      <c r="AV428">
        <v>2.3804720000000001</v>
      </c>
      <c r="AW428">
        <v>24.273119999999999</v>
      </c>
      <c r="AX428">
        <v>9.0099990000000005</v>
      </c>
      <c r="AY428">
        <v>0.41368905828172098</v>
      </c>
      <c r="AZ428" s="1">
        <v>7.2500005364418002E-2</v>
      </c>
      <c r="BA428" s="1">
        <v>9.6499994397163405E-2</v>
      </c>
      <c r="BB428" s="1">
        <v>0.168999999761581</v>
      </c>
      <c r="BC428" s="1">
        <v>3.2988894000000002</v>
      </c>
      <c r="BD428" s="2">
        <v>41.553507149212997</v>
      </c>
      <c r="BE428" s="2">
        <f t="shared" si="12"/>
        <v>2.423900537225002</v>
      </c>
      <c r="BF428" s="2">
        <f t="shared" si="13"/>
        <v>5.5116949014084291</v>
      </c>
      <c r="BH428" s="3"/>
      <c r="BJ428" s="3">
        <v>14420</v>
      </c>
      <c r="BM428" s="3">
        <v>154.80000000000001</v>
      </c>
      <c r="BN428">
        <v>41.600000000000009</v>
      </c>
      <c r="BO428">
        <v>36.749116607773857</v>
      </c>
      <c r="BP428">
        <v>6474667903.7077799</v>
      </c>
      <c r="BQ428">
        <v>455501750.68780994</v>
      </c>
      <c r="BR428">
        <v>7.5675224625469593</v>
      </c>
      <c r="BS428">
        <v>0.1435852</v>
      </c>
      <c r="BT428">
        <v>2.9650259999999999</v>
      </c>
      <c r="BU428">
        <v>7.7917033723415203</v>
      </c>
    </row>
    <row r="429" spans="1:73" x14ac:dyDescent="0.2">
      <c r="A429">
        <v>427</v>
      </c>
      <c r="B429" t="s">
        <v>96</v>
      </c>
      <c r="C429">
        <v>1999</v>
      </c>
      <c r="D429">
        <v>17</v>
      </c>
      <c r="E429">
        <v>0</v>
      </c>
      <c r="F429" t="s">
        <v>97</v>
      </c>
      <c r="G429">
        <v>0.58425000000000005</v>
      </c>
      <c r="H429">
        <v>1</v>
      </c>
      <c r="I429">
        <v>0.73499999999999999</v>
      </c>
      <c r="J429">
        <v>0.747</v>
      </c>
      <c r="K429">
        <v>1.905</v>
      </c>
      <c r="L429">
        <v>1.92</v>
      </c>
      <c r="M429">
        <v>0.78300000000000003</v>
      </c>
      <c r="N429">
        <v>0.79500000000000004</v>
      </c>
      <c r="O429">
        <v>-2.7829999999999999</v>
      </c>
      <c r="P429">
        <v>4.6029999999999998</v>
      </c>
      <c r="Q429">
        <v>1</v>
      </c>
      <c r="R429">
        <v>13348.8</v>
      </c>
      <c r="S429">
        <v>-2.4420000000000002</v>
      </c>
      <c r="T429">
        <v>5.66</v>
      </c>
      <c r="U429">
        <v>10.47</v>
      </c>
      <c r="W429" t="s">
        <v>54</v>
      </c>
      <c r="X429" t="s">
        <v>55</v>
      </c>
      <c r="Y429" t="s">
        <v>59</v>
      </c>
      <c r="Z429">
        <v>0.80600000000000005</v>
      </c>
      <c r="AA429">
        <v>0.88</v>
      </c>
      <c r="AB429">
        <v>99</v>
      </c>
      <c r="AC429">
        <v>5.2</v>
      </c>
      <c r="AE429">
        <v>-56.067500000000003</v>
      </c>
      <c r="AF429">
        <v>-34.894100000000002</v>
      </c>
      <c r="AG429" t="s">
        <v>70</v>
      </c>
      <c r="AH429" t="s">
        <v>58</v>
      </c>
      <c r="AI429">
        <v>10318.35</v>
      </c>
      <c r="AJ429">
        <v>-1.9392119999999999</v>
      </c>
      <c r="AK429">
        <v>34100000000</v>
      </c>
      <c r="AL429">
        <v>43.595770000000002</v>
      </c>
      <c r="AN429">
        <v>-2.1164160000000001</v>
      </c>
      <c r="AO429">
        <v>60.416429999999998</v>
      </c>
      <c r="AP429">
        <v>33.386450000000004</v>
      </c>
      <c r="AQ429">
        <v>0.98107299999999997</v>
      </c>
      <c r="AR429">
        <v>12.19135</v>
      </c>
      <c r="AS429">
        <v>6.4581020000000002</v>
      </c>
      <c r="AT429">
        <v>1.7334240000000001</v>
      </c>
      <c r="AU429">
        <v>7.7450890000000001</v>
      </c>
      <c r="AV429">
        <v>1.7334240000000001</v>
      </c>
      <c r="AW429">
        <v>24.253540000000001</v>
      </c>
      <c r="AX429">
        <v>5.1500009999999996</v>
      </c>
      <c r="AY429">
        <v>0.41368905828172098</v>
      </c>
      <c r="AZ429" s="1">
        <v>5.4999999701976802E-3</v>
      </c>
      <c r="BA429" s="1">
        <v>9.7000002861022894E-2</v>
      </c>
      <c r="BB429" s="1">
        <v>0.10250000655651099</v>
      </c>
      <c r="BC429" s="1">
        <v>3.2988894000000002</v>
      </c>
      <c r="BD429" s="2">
        <v>38.877569653080997</v>
      </c>
      <c r="BE429" s="2">
        <f t="shared" si="12"/>
        <v>2.6759374961320006</v>
      </c>
      <c r="BF429" s="2">
        <f t="shared" si="13"/>
        <v>6.4397392174938997</v>
      </c>
      <c r="BG429">
        <v>26898</v>
      </c>
      <c r="BH429" s="3">
        <v>1345</v>
      </c>
      <c r="BI429">
        <v>5.263569835244394</v>
      </c>
      <c r="BJ429" s="3">
        <v>15144</v>
      </c>
      <c r="BK429">
        <v>724</v>
      </c>
      <c r="BL429">
        <v>5.0208044382801669</v>
      </c>
      <c r="BM429" s="3">
        <v>238.26400000000001</v>
      </c>
      <c r="BN429">
        <v>83.463999999999999</v>
      </c>
      <c r="BO429">
        <v>53.917312661498698</v>
      </c>
      <c r="BP429">
        <v>5802669636.7085104</v>
      </c>
      <c r="BQ429">
        <v>671998266.99926949</v>
      </c>
      <c r="BR429">
        <v>10.378883936494153</v>
      </c>
      <c r="BS429">
        <v>1.2933060000000001</v>
      </c>
      <c r="BT429">
        <v>3.936407</v>
      </c>
      <c r="BU429">
        <v>3.8552963447083801</v>
      </c>
    </row>
    <row r="430" spans="1:73" x14ac:dyDescent="0.2">
      <c r="A430">
        <v>428</v>
      </c>
      <c r="B430" t="s">
        <v>96</v>
      </c>
      <c r="C430">
        <v>2000</v>
      </c>
      <c r="D430">
        <v>17</v>
      </c>
      <c r="E430">
        <v>1</v>
      </c>
      <c r="F430" t="s">
        <v>97</v>
      </c>
      <c r="G430">
        <v>0.58425000000000005</v>
      </c>
      <c r="H430">
        <v>1</v>
      </c>
      <c r="I430">
        <v>1.633</v>
      </c>
      <c r="J430">
        <v>1.6579999999999999</v>
      </c>
      <c r="K430">
        <v>2.84</v>
      </c>
      <c r="L430">
        <v>2.8610000000000002</v>
      </c>
      <c r="M430">
        <v>1.224</v>
      </c>
      <c r="N430">
        <v>1.2470000000000001</v>
      </c>
      <c r="O430">
        <v>-2.7829999999999999</v>
      </c>
      <c r="P430">
        <v>5.633</v>
      </c>
      <c r="Q430">
        <v>0</v>
      </c>
      <c r="R430">
        <v>13050.1</v>
      </c>
      <c r="S430">
        <v>-2.2759999999999998</v>
      </c>
      <c r="T430">
        <v>4.76</v>
      </c>
      <c r="U430">
        <v>12.63</v>
      </c>
      <c r="V430">
        <v>42.9</v>
      </c>
      <c r="W430" t="s">
        <v>54</v>
      </c>
      <c r="X430" t="s">
        <v>55</v>
      </c>
      <c r="Y430" t="s">
        <v>59</v>
      </c>
      <c r="Z430">
        <v>0.80100000000000005</v>
      </c>
      <c r="AA430">
        <v>0.877</v>
      </c>
      <c r="AB430">
        <v>99</v>
      </c>
      <c r="AC430">
        <v>5.2</v>
      </c>
      <c r="AE430">
        <v>-56.067500000000003</v>
      </c>
      <c r="AF430">
        <v>-34.894100000000002</v>
      </c>
      <c r="AG430" t="s">
        <v>70</v>
      </c>
      <c r="AH430" t="s">
        <v>58</v>
      </c>
      <c r="AI430">
        <v>10083.459999999999</v>
      </c>
      <c r="AJ430">
        <v>-1.9299310000000001</v>
      </c>
      <c r="AK430">
        <v>33500000000</v>
      </c>
      <c r="AL430">
        <v>45.094230000000003</v>
      </c>
      <c r="AN430">
        <v>-2.4813399999999999</v>
      </c>
      <c r="AO430">
        <v>60.336649999999999</v>
      </c>
      <c r="AP430">
        <v>36.713740000000001</v>
      </c>
      <c r="AQ430">
        <v>1.151567</v>
      </c>
      <c r="AR430">
        <v>12.35605</v>
      </c>
      <c r="AS430">
        <v>9.2814999999999998E-3</v>
      </c>
      <c r="AT430">
        <v>1.5602480000000001</v>
      </c>
      <c r="AU430">
        <v>7.7450890000000001</v>
      </c>
      <c r="AV430">
        <v>1.5602480000000001</v>
      </c>
      <c r="AW430">
        <v>24.23405</v>
      </c>
      <c r="AX430">
        <v>0.89999960000000001</v>
      </c>
      <c r="AY430">
        <v>0.41368905828172098</v>
      </c>
      <c r="AZ430" s="1">
        <v>5.4999999701976802E-3</v>
      </c>
      <c r="BA430" s="1">
        <v>9.7000002861022894E-2</v>
      </c>
      <c r="BB430" s="1">
        <v>0.10250000655651099</v>
      </c>
      <c r="BC430" s="1">
        <v>3.0733771000000001</v>
      </c>
      <c r="BD430" s="2">
        <v>42.768449995963998</v>
      </c>
      <c r="BE430" s="2">
        <f t="shared" si="12"/>
        <v>3.8908803428830012</v>
      </c>
      <c r="BF430" s="2">
        <f t="shared" si="13"/>
        <v>10.008033880725501</v>
      </c>
      <c r="BG430">
        <v>27887</v>
      </c>
      <c r="BH430" s="3">
        <v>989</v>
      </c>
      <c r="BI430">
        <v>3.6768532976429475</v>
      </c>
      <c r="BJ430" s="3">
        <v>14514</v>
      </c>
      <c r="BK430">
        <v>630</v>
      </c>
      <c r="BL430">
        <v>4.1600633914421552</v>
      </c>
      <c r="BM430" s="3">
        <v>274.2</v>
      </c>
      <c r="BN430">
        <v>35.935999999999979</v>
      </c>
      <c r="BO430">
        <v>15.082429573917997</v>
      </c>
      <c r="BP430">
        <v>5282082359.65765</v>
      </c>
      <c r="BQ430">
        <v>520587277.0508604</v>
      </c>
      <c r="BR430">
        <v>8.9715132799832613</v>
      </c>
      <c r="BS430">
        <v>0.1647015</v>
      </c>
      <c r="BT430">
        <v>6.2970249999999997</v>
      </c>
      <c r="BU430">
        <v>-2.4417284664815799</v>
      </c>
    </row>
    <row r="431" spans="1:73" x14ac:dyDescent="0.2">
      <c r="A431">
        <v>429</v>
      </c>
      <c r="B431" t="s">
        <v>96</v>
      </c>
      <c r="C431">
        <v>2001</v>
      </c>
      <c r="D431">
        <v>17</v>
      </c>
      <c r="E431">
        <v>0</v>
      </c>
      <c r="F431" t="s">
        <v>97</v>
      </c>
      <c r="G431">
        <v>0.58425000000000005</v>
      </c>
      <c r="H431">
        <v>0</v>
      </c>
      <c r="I431">
        <v>1.633</v>
      </c>
      <c r="J431">
        <v>1.6579999999999999</v>
      </c>
      <c r="K431">
        <v>2.84</v>
      </c>
      <c r="L431">
        <v>2.8610000000000002</v>
      </c>
      <c r="M431">
        <v>1.224</v>
      </c>
      <c r="N431">
        <v>1.2470000000000001</v>
      </c>
      <c r="O431">
        <v>-2.4249999999999998</v>
      </c>
      <c r="P431">
        <v>5.0609999999999999</v>
      </c>
      <c r="Q431">
        <v>0</v>
      </c>
      <c r="R431">
        <v>12463.9</v>
      </c>
      <c r="S431">
        <v>-4.01</v>
      </c>
      <c r="T431">
        <v>4.3600000000000003</v>
      </c>
      <c r="U431">
        <v>15.05</v>
      </c>
      <c r="V431">
        <v>45</v>
      </c>
      <c r="W431" t="s">
        <v>54</v>
      </c>
      <c r="X431" t="s">
        <v>55</v>
      </c>
      <c r="Y431" t="s">
        <v>59</v>
      </c>
      <c r="Z431">
        <v>0.80700000000000005</v>
      </c>
      <c r="AA431">
        <v>0.877</v>
      </c>
      <c r="AB431">
        <v>99</v>
      </c>
      <c r="AC431">
        <v>5.2</v>
      </c>
      <c r="AD431">
        <v>40.643329999999999</v>
      </c>
      <c r="AE431">
        <v>-56.067500000000003</v>
      </c>
      <c r="AF431">
        <v>-34.894100000000002</v>
      </c>
      <c r="AG431" t="s">
        <v>70</v>
      </c>
      <c r="AH431" t="s">
        <v>58</v>
      </c>
      <c r="AI431">
        <v>9679.1149999999998</v>
      </c>
      <c r="AJ431">
        <v>-3.8441299999999998</v>
      </c>
      <c r="AK431">
        <v>32200000000</v>
      </c>
      <c r="AL431">
        <v>53.85389</v>
      </c>
      <c r="AM431">
        <v>40.643329999999999</v>
      </c>
      <c r="AN431">
        <v>-2.381135</v>
      </c>
      <c r="AO431">
        <v>60.304580000000001</v>
      </c>
      <c r="AP431">
        <v>36.309510000000003</v>
      </c>
      <c r="AQ431">
        <v>1.485268</v>
      </c>
      <c r="AR431">
        <v>12.492039999999999</v>
      </c>
      <c r="AS431">
        <v>1.914199</v>
      </c>
      <c r="AT431">
        <v>1.472472</v>
      </c>
      <c r="AU431">
        <v>5.8806250000000002</v>
      </c>
      <c r="AV431">
        <v>1.472472</v>
      </c>
      <c r="AW431">
        <v>24.194849999999999</v>
      </c>
      <c r="AX431">
        <v>0.40000010000000003</v>
      </c>
      <c r="AY431">
        <v>0.69795140543115797</v>
      </c>
      <c r="AZ431" s="1">
        <v>5.4999999701976802E-3</v>
      </c>
      <c r="BA431" s="1">
        <v>9.7000002861022894E-2</v>
      </c>
      <c r="BB431" s="1">
        <v>0.10250000655651099</v>
      </c>
      <c r="BC431" s="1">
        <v>3.0733771000000001</v>
      </c>
      <c r="BD431" s="2">
        <v>42.347106690327003</v>
      </c>
      <c r="BE431" s="2">
        <f t="shared" si="12"/>
        <v>0.42134330563699507</v>
      </c>
      <c r="BF431" s="2">
        <f t="shared" si="13"/>
        <v>0.98517319584122565</v>
      </c>
      <c r="BG431">
        <v>27535</v>
      </c>
      <c r="BH431" s="3">
        <v>352</v>
      </c>
      <c r="BI431">
        <v>1.2622368845698713</v>
      </c>
      <c r="BJ431" s="3">
        <v>14048</v>
      </c>
      <c r="BK431">
        <v>466</v>
      </c>
      <c r="BL431">
        <v>3.2106931238803913</v>
      </c>
      <c r="BM431" s="3">
        <v>290.60000000000002</v>
      </c>
      <c r="BN431">
        <v>16.400000000000034</v>
      </c>
      <c r="BO431">
        <v>5.9810357403355345</v>
      </c>
      <c r="BP431">
        <v>4917810263.0980902</v>
      </c>
      <c r="BQ431">
        <v>364272096.55955982</v>
      </c>
      <c r="BR431">
        <v>6.8963729028861547</v>
      </c>
      <c r="BS431">
        <v>0.135994</v>
      </c>
      <c r="BT431">
        <v>0.1653049</v>
      </c>
      <c r="BU431">
        <v>-2.2764234120059301</v>
      </c>
    </row>
    <row r="432" spans="1:73" x14ac:dyDescent="0.2">
      <c r="A432">
        <v>430</v>
      </c>
      <c r="B432" t="s">
        <v>96</v>
      </c>
      <c r="C432">
        <v>2002</v>
      </c>
      <c r="D432">
        <v>17</v>
      </c>
      <c r="E432">
        <v>0</v>
      </c>
      <c r="F432" t="s">
        <v>97</v>
      </c>
      <c r="G432">
        <v>0.58425000000000005</v>
      </c>
      <c r="H432">
        <v>1</v>
      </c>
      <c r="I432">
        <v>1.633</v>
      </c>
      <c r="J432">
        <v>1.6579999999999999</v>
      </c>
      <c r="K432">
        <v>2.84</v>
      </c>
      <c r="L432">
        <v>2.8610000000000002</v>
      </c>
      <c r="M432">
        <v>1.224</v>
      </c>
      <c r="N432">
        <v>1.2470000000000001</v>
      </c>
      <c r="O432">
        <v>-2.4249999999999998</v>
      </c>
      <c r="P432">
        <v>5.07</v>
      </c>
      <c r="Q432">
        <v>0</v>
      </c>
      <c r="R432">
        <v>11399.6</v>
      </c>
      <c r="S432">
        <v>-7.7480000000000002</v>
      </c>
      <c r="T432">
        <v>13.97</v>
      </c>
      <c r="U432">
        <v>16.649999999999999</v>
      </c>
      <c r="V432">
        <v>45.5</v>
      </c>
      <c r="W432" t="s">
        <v>54</v>
      </c>
      <c r="X432" t="s">
        <v>55</v>
      </c>
      <c r="Y432" t="s">
        <v>59</v>
      </c>
      <c r="Z432">
        <v>0.80700000000000005</v>
      </c>
      <c r="AA432">
        <v>0.877</v>
      </c>
      <c r="AB432">
        <v>99</v>
      </c>
      <c r="AC432">
        <v>5.2</v>
      </c>
      <c r="AD432">
        <v>95.267859999999999</v>
      </c>
      <c r="AE432">
        <v>-56.067500000000003</v>
      </c>
      <c r="AF432">
        <v>-34.894100000000002</v>
      </c>
      <c r="AG432" t="s">
        <v>70</v>
      </c>
      <c r="AH432" t="s">
        <v>58</v>
      </c>
      <c r="AI432">
        <v>8929.1820000000007</v>
      </c>
      <c r="AJ432">
        <v>-7.7320070000000003</v>
      </c>
      <c r="AK432">
        <v>29700000000</v>
      </c>
      <c r="AL432">
        <v>70.511740000000003</v>
      </c>
      <c r="AM432">
        <v>95.267859999999999</v>
      </c>
      <c r="AN432">
        <v>2.8071069999999998</v>
      </c>
      <c r="AO432">
        <v>60.224809999999998</v>
      </c>
      <c r="AP432">
        <v>40.029069999999997</v>
      </c>
      <c r="AQ432">
        <v>1.3218110000000001</v>
      </c>
      <c r="AR432">
        <v>12.34779</v>
      </c>
      <c r="AS432">
        <v>3.887877</v>
      </c>
      <c r="AT432">
        <v>2.6369120000000001</v>
      </c>
      <c r="AU432">
        <v>5.8806250000000002</v>
      </c>
      <c r="AV432">
        <v>2.6369120000000001</v>
      </c>
      <c r="AW432">
        <v>24.114370000000001</v>
      </c>
      <c r="AX432">
        <v>9.6100010000000005</v>
      </c>
      <c r="AY432">
        <v>0.69795140543115797</v>
      </c>
      <c r="AZ432" s="1">
        <v>5.4999999701976802E-3</v>
      </c>
      <c r="BA432" s="1">
        <v>9.7000002861022894E-2</v>
      </c>
      <c r="BB432" s="1">
        <v>0.10250000655651099</v>
      </c>
      <c r="BC432" s="1">
        <v>3.0733771000000001</v>
      </c>
      <c r="BD432" s="2">
        <v>47.042666561979999</v>
      </c>
      <c r="BE432" s="2">
        <f t="shared" si="12"/>
        <v>4.6955598716529963</v>
      </c>
      <c r="BF432" s="2">
        <f t="shared" si="13"/>
        <v>11.08826609097609</v>
      </c>
      <c r="BG432">
        <v>24980</v>
      </c>
      <c r="BH432" s="3">
        <v>2555</v>
      </c>
      <c r="BI432">
        <v>9.2790993281278364</v>
      </c>
      <c r="BJ432" s="3">
        <v>14714</v>
      </c>
      <c r="BK432">
        <v>666</v>
      </c>
      <c r="BL432">
        <v>4.7408883826879267</v>
      </c>
      <c r="BM432" s="3">
        <v>179.9</v>
      </c>
      <c r="BN432">
        <v>110.70000000000002</v>
      </c>
      <c r="BO432">
        <v>38.093599449415009</v>
      </c>
      <c r="BP432">
        <v>3857683602.8123202</v>
      </c>
      <c r="BQ432">
        <v>1060126660.2857699</v>
      </c>
      <c r="BR432">
        <v>21.556884132774943</v>
      </c>
      <c r="BS432">
        <v>0.14424799999999999</v>
      </c>
      <c r="BT432">
        <v>1.733592</v>
      </c>
      <c r="BU432">
        <v>-4.0100150905493299</v>
      </c>
    </row>
    <row r="433" spans="1:73" x14ac:dyDescent="0.2">
      <c r="A433">
        <v>431</v>
      </c>
      <c r="B433" t="s">
        <v>96</v>
      </c>
      <c r="C433">
        <v>2003</v>
      </c>
      <c r="D433">
        <v>17</v>
      </c>
      <c r="E433">
        <v>0</v>
      </c>
      <c r="F433" t="s">
        <v>97</v>
      </c>
      <c r="G433">
        <v>0.58425000000000005</v>
      </c>
      <c r="H433">
        <v>0</v>
      </c>
      <c r="I433">
        <v>1.633</v>
      </c>
      <c r="J433">
        <v>1.6579999999999999</v>
      </c>
      <c r="K433">
        <v>2.84</v>
      </c>
      <c r="L433">
        <v>2.8610000000000002</v>
      </c>
      <c r="M433">
        <v>1.224</v>
      </c>
      <c r="N433">
        <v>1.2470000000000001</v>
      </c>
      <c r="O433">
        <v>-2.4249999999999998</v>
      </c>
      <c r="P433">
        <v>4.8550000000000004</v>
      </c>
      <c r="Q433">
        <v>0</v>
      </c>
      <c r="R433">
        <v>11438.7</v>
      </c>
      <c r="S433">
        <v>0.877</v>
      </c>
      <c r="T433">
        <v>19.38</v>
      </c>
      <c r="U433">
        <v>16.66</v>
      </c>
      <c r="V433">
        <v>45</v>
      </c>
      <c r="W433" t="s">
        <v>54</v>
      </c>
      <c r="X433" t="s">
        <v>55</v>
      </c>
      <c r="Y433" t="s">
        <v>59</v>
      </c>
      <c r="Z433">
        <v>0.79400000000000004</v>
      </c>
      <c r="AA433">
        <v>0.877</v>
      </c>
      <c r="AB433">
        <v>99</v>
      </c>
      <c r="AC433">
        <v>5.2</v>
      </c>
      <c r="AD433">
        <v>105.6028</v>
      </c>
      <c r="AE433">
        <v>-56.067500000000003</v>
      </c>
      <c r="AF433">
        <v>-34.894100000000002</v>
      </c>
      <c r="AG433" t="s">
        <v>70</v>
      </c>
      <c r="AH433" t="s">
        <v>58</v>
      </c>
      <c r="AI433">
        <v>9007.5460000000003</v>
      </c>
      <c r="AJ433">
        <v>0.80528390000000005</v>
      </c>
      <c r="AK433">
        <v>29900000000</v>
      </c>
      <c r="AL433">
        <v>43.186540000000001</v>
      </c>
      <c r="AM433">
        <v>105.6028</v>
      </c>
      <c r="AN433">
        <v>-0.72441759999999999</v>
      </c>
      <c r="AO433">
        <v>60.060499999999998</v>
      </c>
      <c r="AP433">
        <v>51.7592</v>
      </c>
      <c r="AQ433">
        <v>3.3432650000000002</v>
      </c>
      <c r="AR433">
        <v>11.989089999999999</v>
      </c>
      <c r="AS433">
        <v>8.5372909999999997</v>
      </c>
      <c r="AT433">
        <v>2.964242</v>
      </c>
      <c r="AU433">
        <v>5.8806250000000002</v>
      </c>
      <c r="AV433">
        <v>2.964242</v>
      </c>
      <c r="AW433">
        <v>24.122389999999999</v>
      </c>
      <c r="AX433">
        <v>5.409999</v>
      </c>
      <c r="AY433">
        <v>0.69795140543115797</v>
      </c>
      <c r="AZ433" s="1">
        <v>5.4999999701976802E-3</v>
      </c>
      <c r="BA433" s="1">
        <v>9.7000002861022894E-2</v>
      </c>
      <c r="BB433" s="1">
        <v>0.10250000655651099</v>
      </c>
      <c r="BC433" s="1">
        <v>3.0733771000000001</v>
      </c>
      <c r="BD433" s="2">
        <v>60.959052178253998</v>
      </c>
      <c r="BE433" s="2">
        <f t="shared" si="12"/>
        <v>13.916385616273999</v>
      </c>
      <c r="BF433" s="2">
        <f t="shared" si="13"/>
        <v>29.582476150536195</v>
      </c>
      <c r="BG433">
        <v>31852</v>
      </c>
      <c r="BH433" s="3">
        <v>6872</v>
      </c>
      <c r="BI433">
        <v>27.510008006405123</v>
      </c>
      <c r="BJ433" s="3">
        <v>19711</v>
      </c>
      <c r="BK433">
        <v>4997</v>
      </c>
      <c r="BL433">
        <v>33.960853608807938</v>
      </c>
      <c r="BM433" s="3">
        <v>401.5</v>
      </c>
      <c r="BN433">
        <v>221.6</v>
      </c>
      <c r="BO433">
        <v>123.17954419121735</v>
      </c>
      <c r="BP433">
        <v>3762923721.6253901</v>
      </c>
      <c r="BQ433">
        <v>94759881.18693018</v>
      </c>
      <c r="BR433">
        <v>2.4563932904670702</v>
      </c>
      <c r="BS433">
        <v>0.35870550000000001</v>
      </c>
      <c r="BT433">
        <v>3.737943</v>
      </c>
      <c r="BU433">
        <v>-7.7479583069848399</v>
      </c>
    </row>
    <row r="434" spans="1:73" x14ac:dyDescent="0.2">
      <c r="A434">
        <v>432</v>
      </c>
      <c r="B434" t="s">
        <v>96</v>
      </c>
      <c r="C434">
        <v>2004</v>
      </c>
      <c r="D434">
        <v>17</v>
      </c>
      <c r="E434">
        <v>0</v>
      </c>
      <c r="F434" t="s">
        <v>97</v>
      </c>
      <c r="G434">
        <v>0.58425000000000005</v>
      </c>
      <c r="H434">
        <v>0</v>
      </c>
      <c r="I434">
        <v>1.633</v>
      </c>
      <c r="J434">
        <v>1.6579999999999999</v>
      </c>
      <c r="K434">
        <v>2.84</v>
      </c>
      <c r="L434">
        <v>2.8610000000000002</v>
      </c>
      <c r="M434">
        <v>1.224</v>
      </c>
      <c r="N434">
        <v>1.2470000000000001</v>
      </c>
      <c r="O434">
        <v>-3.3039999999999998</v>
      </c>
      <c r="P434">
        <v>4.7229999999999999</v>
      </c>
      <c r="Q434">
        <v>1</v>
      </c>
      <c r="R434">
        <v>11955.3</v>
      </c>
      <c r="S434">
        <v>5.0730000000000004</v>
      </c>
      <c r="T434">
        <v>9.16</v>
      </c>
      <c r="U434">
        <v>12.98</v>
      </c>
      <c r="V434">
        <v>45.9</v>
      </c>
      <c r="W434" t="s">
        <v>54</v>
      </c>
      <c r="X434" t="s">
        <v>55</v>
      </c>
      <c r="Y434" t="s">
        <v>59</v>
      </c>
      <c r="Z434">
        <v>0.80700000000000005</v>
      </c>
      <c r="AA434">
        <v>0.877</v>
      </c>
      <c r="AB434">
        <v>99</v>
      </c>
      <c r="AC434">
        <v>5.2</v>
      </c>
      <c r="AD434">
        <v>85.42559</v>
      </c>
      <c r="AE434">
        <v>-56.067500000000003</v>
      </c>
      <c r="AF434">
        <v>-34.894100000000002</v>
      </c>
      <c r="AG434" t="s">
        <v>70</v>
      </c>
      <c r="AH434" t="s">
        <v>58</v>
      </c>
      <c r="AI434">
        <v>9464.491</v>
      </c>
      <c r="AJ434">
        <v>5.0041599999999997</v>
      </c>
      <c r="AK434">
        <v>31400000000</v>
      </c>
      <c r="AL434">
        <v>24.193390000000001</v>
      </c>
      <c r="AM434">
        <v>85.42559</v>
      </c>
      <c r="AN434">
        <v>2.28311E-2</v>
      </c>
      <c r="AO434">
        <v>59.789490000000001</v>
      </c>
      <c r="AP434">
        <v>61.476689999999998</v>
      </c>
      <c r="AQ434">
        <v>2.5771169999999999</v>
      </c>
      <c r="AR434">
        <v>11.00502</v>
      </c>
      <c r="AS434">
        <v>4.1988760000000003</v>
      </c>
      <c r="AT434">
        <v>2.2148460000000001</v>
      </c>
      <c r="AU434">
        <v>10.91642</v>
      </c>
      <c r="AV434">
        <v>2.2148460000000001</v>
      </c>
      <c r="AW434">
        <v>24.171220000000002</v>
      </c>
      <c r="AX434">
        <v>10.220000000000001</v>
      </c>
      <c r="AY434">
        <v>0</v>
      </c>
      <c r="AZ434" s="1">
        <v>3.7500001490116099E-2</v>
      </c>
      <c r="BA434" s="1">
        <v>0.23350000381469699</v>
      </c>
      <c r="BB434" s="1">
        <v>0.27099999785423301</v>
      </c>
      <c r="BC434" s="1">
        <v>3.0733771000000001</v>
      </c>
      <c r="BD434" s="2">
        <v>72.323505908304</v>
      </c>
      <c r="BE434" s="2">
        <f t="shared" si="12"/>
        <v>11.364453730050002</v>
      </c>
      <c r="BF434" s="2">
        <f t="shared" si="13"/>
        <v>18.64276645381317</v>
      </c>
      <c r="BG434">
        <v>36085</v>
      </c>
      <c r="BH434" s="3">
        <v>4233</v>
      </c>
      <c r="BI434">
        <v>13.289589350747207</v>
      </c>
      <c r="BJ434" s="3">
        <v>22281</v>
      </c>
      <c r="BK434">
        <v>2570</v>
      </c>
      <c r="BL434">
        <v>13.038404951549897</v>
      </c>
      <c r="BM434" s="3">
        <v>314.7</v>
      </c>
      <c r="BN434">
        <v>86.800000000000011</v>
      </c>
      <c r="BO434">
        <v>21.618929016189295</v>
      </c>
      <c r="BP434">
        <v>4478506783.9964199</v>
      </c>
      <c r="BQ434">
        <v>715583062.37102985</v>
      </c>
      <c r="BR434">
        <v>19.01667733147497</v>
      </c>
      <c r="BS434">
        <v>0.98407080000000002</v>
      </c>
      <c r="BT434">
        <v>8.6255780000000009</v>
      </c>
      <c r="BU434">
        <v>0.87761999347893005</v>
      </c>
    </row>
    <row r="435" spans="1:73" x14ac:dyDescent="0.2">
      <c r="A435">
        <v>433</v>
      </c>
      <c r="B435" t="s">
        <v>96</v>
      </c>
      <c r="C435">
        <v>2005</v>
      </c>
      <c r="D435">
        <v>17</v>
      </c>
      <c r="E435">
        <v>1</v>
      </c>
      <c r="F435" t="s">
        <v>97</v>
      </c>
      <c r="G435">
        <v>0.58425000000000005</v>
      </c>
      <c r="H435">
        <v>1</v>
      </c>
      <c r="I435">
        <v>1.7549999999999999</v>
      </c>
      <c r="J435">
        <v>1.7929999999999999</v>
      </c>
      <c r="K435">
        <v>2.944</v>
      </c>
      <c r="L435">
        <v>2.976</v>
      </c>
      <c r="M435">
        <v>1.2949999999999999</v>
      </c>
      <c r="N435">
        <v>1.32</v>
      </c>
      <c r="O435">
        <v>-3.3039999999999998</v>
      </c>
      <c r="P435">
        <v>5.1849999999999996</v>
      </c>
      <c r="Q435">
        <v>0</v>
      </c>
      <c r="R435">
        <v>12757.5</v>
      </c>
      <c r="S435">
        <v>7.45</v>
      </c>
      <c r="T435">
        <v>4.7</v>
      </c>
      <c r="U435">
        <v>12.01</v>
      </c>
      <c r="V435">
        <v>44.7</v>
      </c>
      <c r="W435" t="s">
        <v>54</v>
      </c>
      <c r="X435" t="s">
        <v>55</v>
      </c>
      <c r="Y435" t="s">
        <v>59</v>
      </c>
      <c r="Z435">
        <v>0.81899999999999995</v>
      </c>
      <c r="AA435">
        <v>0.89</v>
      </c>
      <c r="AB435">
        <v>99</v>
      </c>
      <c r="AC435">
        <v>5.2</v>
      </c>
      <c r="AD435">
        <v>76.114459999999994</v>
      </c>
      <c r="AE435">
        <v>-56.067500000000003</v>
      </c>
      <c r="AF435">
        <v>-34.894100000000002</v>
      </c>
      <c r="AG435" t="s">
        <v>70</v>
      </c>
      <c r="AH435" t="s">
        <v>58</v>
      </c>
      <c r="AI435">
        <v>10169.6</v>
      </c>
      <c r="AJ435">
        <v>7.4601319999999998</v>
      </c>
      <c r="AK435">
        <v>33800000000</v>
      </c>
      <c r="AL435">
        <v>22.47494</v>
      </c>
      <c r="AM435">
        <v>76.114459999999994</v>
      </c>
      <c r="AN435">
        <v>0.24349709999999999</v>
      </c>
      <c r="AO435">
        <v>59.421689999999998</v>
      </c>
      <c r="AP435">
        <v>58.877699999999997</v>
      </c>
      <c r="AQ435">
        <v>4.760891</v>
      </c>
      <c r="AR435">
        <v>10.935460000000001</v>
      </c>
      <c r="AS435">
        <v>2.455972</v>
      </c>
      <c r="AT435">
        <v>1.5475620000000001</v>
      </c>
      <c r="AU435">
        <v>10.91642</v>
      </c>
      <c r="AV435">
        <v>1.5475620000000001</v>
      </c>
      <c r="AW435">
        <v>24.243179999999999</v>
      </c>
      <c r="AX435">
        <v>4.46</v>
      </c>
      <c r="AY435">
        <v>0</v>
      </c>
      <c r="AZ435" s="1">
        <v>3.7500001490116099E-2</v>
      </c>
      <c r="BA435" s="1">
        <v>0.23350000381469699</v>
      </c>
      <c r="BB435" s="1">
        <v>0.27099999785423301</v>
      </c>
      <c r="BC435" s="1">
        <v>2.3899050000000002</v>
      </c>
      <c r="BD435" s="2">
        <v>69.206122667518002</v>
      </c>
      <c r="BE435" s="2">
        <f t="shared" si="12"/>
        <v>3.1173832407859976</v>
      </c>
      <c r="BF435" s="2">
        <f t="shared" si="13"/>
        <v>4.3103320305550445</v>
      </c>
      <c r="BG435">
        <v>45663</v>
      </c>
      <c r="BH435" s="3">
        <v>9578</v>
      </c>
      <c r="BI435">
        <v>26.542884855202992</v>
      </c>
      <c r="BJ435" s="3">
        <v>29731</v>
      </c>
      <c r="BK435">
        <v>7450</v>
      </c>
      <c r="BL435">
        <v>33.436560298011756</v>
      </c>
      <c r="BM435" s="3">
        <v>811.1</v>
      </c>
      <c r="BN435">
        <v>496.40000000000003</v>
      </c>
      <c r="BO435">
        <v>157.73752780425804</v>
      </c>
      <c r="BP435">
        <v>5327615525.1321602</v>
      </c>
      <c r="BQ435">
        <v>849108741.13574028</v>
      </c>
      <c r="BR435">
        <v>18.959639497922868</v>
      </c>
      <c r="BS435">
        <v>6.95601E-2</v>
      </c>
      <c r="BT435">
        <v>4.1952999999999996</v>
      </c>
      <c r="BU435">
        <v>5.0729199342252098</v>
      </c>
    </row>
    <row r="436" spans="1:73" x14ac:dyDescent="0.2">
      <c r="A436">
        <v>434</v>
      </c>
      <c r="B436" t="s">
        <v>96</v>
      </c>
      <c r="C436">
        <v>2006</v>
      </c>
      <c r="D436">
        <v>17</v>
      </c>
      <c r="E436">
        <v>0</v>
      </c>
      <c r="F436" t="s">
        <v>97</v>
      </c>
      <c r="G436">
        <v>0.58425000000000005</v>
      </c>
      <c r="H436">
        <v>0</v>
      </c>
      <c r="I436">
        <v>1.7549999999999999</v>
      </c>
      <c r="J436">
        <v>1.7929999999999999</v>
      </c>
      <c r="K436">
        <v>2.944</v>
      </c>
      <c r="L436">
        <v>2.976</v>
      </c>
      <c r="M436">
        <v>1.2949999999999999</v>
      </c>
      <c r="N436">
        <v>1.32</v>
      </c>
      <c r="O436">
        <v>-3.3039999999999998</v>
      </c>
      <c r="P436">
        <v>4.9539999999999997</v>
      </c>
      <c r="Q436">
        <v>0</v>
      </c>
      <c r="R436">
        <v>13223.8</v>
      </c>
      <c r="S436">
        <v>3.9860000000000002</v>
      </c>
      <c r="T436">
        <v>6.4</v>
      </c>
      <c r="U436">
        <v>10.84</v>
      </c>
      <c r="V436">
        <v>45.9</v>
      </c>
      <c r="W436" t="s">
        <v>54</v>
      </c>
      <c r="X436" t="s">
        <v>55</v>
      </c>
      <c r="Y436" t="s">
        <v>59</v>
      </c>
      <c r="Z436">
        <v>0.82099999999999995</v>
      </c>
      <c r="AA436">
        <v>0.89</v>
      </c>
      <c r="AB436">
        <v>99</v>
      </c>
      <c r="AC436">
        <v>5.2</v>
      </c>
      <c r="AD436">
        <v>69.026889999999995</v>
      </c>
      <c r="AE436">
        <v>-56.067500000000003</v>
      </c>
      <c r="AF436">
        <v>-34.894100000000002</v>
      </c>
      <c r="AG436" t="s">
        <v>70</v>
      </c>
      <c r="AH436" t="s">
        <v>58</v>
      </c>
      <c r="AI436">
        <v>10574.93</v>
      </c>
      <c r="AJ436">
        <v>4.0985769999999997</v>
      </c>
      <c r="AK436">
        <v>35200000000</v>
      </c>
      <c r="AL436">
        <v>23.948370000000001</v>
      </c>
      <c r="AM436">
        <v>69.026889999999995</v>
      </c>
      <c r="AN436">
        <v>-2.00149</v>
      </c>
      <c r="AO436">
        <v>59.012300000000003</v>
      </c>
      <c r="AP436">
        <v>61.97157</v>
      </c>
      <c r="AQ436">
        <v>7.7037389999999997</v>
      </c>
      <c r="AR436">
        <v>11.285259999999999</v>
      </c>
      <c r="AS436">
        <v>3.3615550000000001</v>
      </c>
      <c r="AT436">
        <v>1.856298</v>
      </c>
      <c r="AU436">
        <v>10.91642</v>
      </c>
      <c r="AV436">
        <v>1.856298</v>
      </c>
      <c r="AW436">
        <v>24.283339999999999</v>
      </c>
      <c r="AX436">
        <v>1.7</v>
      </c>
      <c r="AY436">
        <v>0</v>
      </c>
      <c r="AZ436" s="1">
        <v>3.7500001490116099E-2</v>
      </c>
      <c r="BA436" s="1">
        <v>0.23350000381469699</v>
      </c>
      <c r="BB436" s="1">
        <v>0.27099999785423301</v>
      </c>
      <c r="BC436" s="1">
        <v>2.3899050000000002</v>
      </c>
      <c r="BD436" s="2">
        <v>72.551991697315003</v>
      </c>
      <c r="BE436" s="2">
        <f t="shared" si="12"/>
        <v>3.3458690297970008</v>
      </c>
      <c r="BF436" s="2">
        <f t="shared" si="13"/>
        <v>4.8346430934605582</v>
      </c>
      <c r="BG436">
        <v>55563</v>
      </c>
      <c r="BH436" s="3">
        <v>9900</v>
      </c>
      <c r="BI436">
        <v>21.680572892714014</v>
      </c>
      <c r="BJ436" s="3">
        <v>35692</v>
      </c>
      <c r="BK436">
        <v>5961</v>
      </c>
      <c r="BL436">
        <v>20.049779691231375</v>
      </c>
      <c r="BM436" s="3">
        <v>1494.6</v>
      </c>
      <c r="BN436">
        <v>683.49999999999989</v>
      </c>
      <c r="BO436">
        <v>84.268277647638982</v>
      </c>
      <c r="BP436">
        <v>6068534570.6233301</v>
      </c>
      <c r="BQ436">
        <v>740919045.49116993</v>
      </c>
      <c r="BR436">
        <v>13.907141797226259</v>
      </c>
      <c r="BS436">
        <v>0.3498058</v>
      </c>
      <c r="BT436">
        <v>2.377087</v>
      </c>
      <c r="BU436">
        <v>7.4500065939320903</v>
      </c>
    </row>
    <row r="437" spans="1:73" x14ac:dyDescent="0.2">
      <c r="A437">
        <v>435</v>
      </c>
      <c r="B437" t="s">
        <v>96</v>
      </c>
      <c r="C437">
        <v>2007</v>
      </c>
      <c r="D437">
        <v>17</v>
      </c>
      <c r="E437">
        <v>0</v>
      </c>
      <c r="F437" t="s">
        <v>97</v>
      </c>
      <c r="G437">
        <v>0.58425000000000005</v>
      </c>
      <c r="H437">
        <v>0</v>
      </c>
      <c r="I437">
        <v>1.7549999999999999</v>
      </c>
      <c r="J437">
        <v>1.7929999999999999</v>
      </c>
      <c r="K437">
        <v>2.944</v>
      </c>
      <c r="L437">
        <v>2.976</v>
      </c>
      <c r="M437">
        <v>1.2949999999999999</v>
      </c>
      <c r="N437">
        <v>1.32</v>
      </c>
      <c r="O437">
        <v>-3.3039999999999998</v>
      </c>
      <c r="P437">
        <v>4.6829999999999998</v>
      </c>
      <c r="Q437">
        <v>0</v>
      </c>
      <c r="R437">
        <v>13976.4</v>
      </c>
      <c r="S437">
        <v>6.3390000000000004</v>
      </c>
      <c r="T437">
        <v>8.11</v>
      </c>
      <c r="U437">
        <v>9.4</v>
      </c>
      <c r="V437">
        <v>46.4</v>
      </c>
      <c r="W437" t="s">
        <v>54</v>
      </c>
      <c r="X437" t="s">
        <v>55</v>
      </c>
      <c r="Y437" t="s">
        <v>59</v>
      </c>
      <c r="Z437">
        <v>0.82099999999999995</v>
      </c>
      <c r="AA437">
        <v>0.89</v>
      </c>
      <c r="AB437">
        <v>99</v>
      </c>
      <c r="AC437">
        <v>5.2</v>
      </c>
      <c r="AD437">
        <v>58.512059999999998</v>
      </c>
      <c r="AE437">
        <v>-56.067500000000003</v>
      </c>
      <c r="AF437">
        <v>-34.894100000000002</v>
      </c>
      <c r="AG437" t="s">
        <v>70</v>
      </c>
      <c r="AH437" t="s">
        <v>58</v>
      </c>
      <c r="AI437">
        <v>11245.22</v>
      </c>
      <c r="AJ437">
        <v>6.5415109999999999</v>
      </c>
      <c r="AK437">
        <v>37500000000</v>
      </c>
      <c r="AL437">
        <v>23.410900000000002</v>
      </c>
      <c r="AM437">
        <v>58.512059999999998</v>
      </c>
      <c r="AN437">
        <v>-0.9416776</v>
      </c>
      <c r="AO437">
        <v>58.469320000000003</v>
      </c>
      <c r="AP437">
        <v>59.210450000000002</v>
      </c>
      <c r="AQ437">
        <v>5.8039440000000004</v>
      </c>
      <c r="AR437">
        <v>11.480180000000001</v>
      </c>
      <c r="AS437">
        <v>2.4429340000000002</v>
      </c>
      <c r="AT437">
        <v>2.0930979999999999</v>
      </c>
      <c r="AU437">
        <v>10.91642</v>
      </c>
      <c r="AV437">
        <v>2.0930979999999999</v>
      </c>
      <c r="AW437">
        <v>24.346710000000002</v>
      </c>
      <c r="AX437">
        <v>1.71</v>
      </c>
      <c r="AY437">
        <v>0</v>
      </c>
      <c r="AZ437" s="1">
        <v>3.7500001490116099E-2</v>
      </c>
      <c r="BA437" s="1">
        <v>0.23350000381469699</v>
      </c>
      <c r="BB437" s="1">
        <v>0.27099999785423301</v>
      </c>
      <c r="BC437" s="1">
        <v>2.3899050000000002</v>
      </c>
      <c r="BD437" s="2">
        <v>69.343833673092007</v>
      </c>
      <c r="BE437" s="2">
        <f t="shared" si="12"/>
        <v>3.2081580242229961</v>
      </c>
      <c r="BF437" s="2">
        <f t="shared" si="13"/>
        <v>4.4218745056749738</v>
      </c>
      <c r="BG437">
        <v>72540</v>
      </c>
      <c r="BH437" s="3">
        <v>16977</v>
      </c>
      <c r="BI437">
        <v>30.554505696236703</v>
      </c>
      <c r="BJ437" s="3">
        <v>47051</v>
      </c>
      <c r="BK437">
        <v>11359</v>
      </c>
      <c r="BL437">
        <v>31.82505883671411</v>
      </c>
      <c r="BM437" s="3">
        <v>1240</v>
      </c>
      <c r="BN437">
        <v>254.59999999999991</v>
      </c>
      <c r="BO437">
        <v>17.034658102502338</v>
      </c>
      <c r="BP437">
        <v>6631553090.9931402</v>
      </c>
      <c r="BQ437">
        <v>563018520.3698101</v>
      </c>
      <c r="BR437">
        <v>9.2776685016392619</v>
      </c>
      <c r="BS437">
        <v>0.1949196</v>
      </c>
      <c r="BT437">
        <v>3.4642490000000001</v>
      </c>
      <c r="BU437">
        <v>3.98575757274513</v>
      </c>
    </row>
    <row r="438" spans="1:73" x14ac:dyDescent="0.2">
      <c r="A438">
        <v>436</v>
      </c>
      <c r="B438" t="s">
        <v>96</v>
      </c>
      <c r="C438">
        <v>2008</v>
      </c>
      <c r="D438">
        <v>17</v>
      </c>
      <c r="E438">
        <v>0</v>
      </c>
      <c r="F438" t="s">
        <v>97</v>
      </c>
      <c r="G438">
        <v>0.59899999999999998</v>
      </c>
      <c r="H438">
        <v>0</v>
      </c>
      <c r="I438">
        <v>1.7549999999999999</v>
      </c>
      <c r="J438">
        <v>1.7929999999999999</v>
      </c>
      <c r="K438">
        <v>2.944</v>
      </c>
      <c r="L438">
        <v>2.976</v>
      </c>
      <c r="M438">
        <v>1.2949999999999999</v>
      </c>
      <c r="N438">
        <v>1.32</v>
      </c>
      <c r="O438">
        <v>-3.3039999999999998</v>
      </c>
      <c r="P438">
        <v>5.0469999999999997</v>
      </c>
      <c r="Q438">
        <v>0</v>
      </c>
      <c r="R438">
        <v>14869.9</v>
      </c>
      <c r="S438">
        <v>6.9039999999999999</v>
      </c>
      <c r="T438">
        <v>7.88</v>
      </c>
      <c r="U438">
        <v>8.0299999999999994</v>
      </c>
      <c r="V438">
        <v>45.1</v>
      </c>
      <c r="W438" t="s">
        <v>54</v>
      </c>
      <c r="X438" t="s">
        <v>55</v>
      </c>
      <c r="Y438" t="s">
        <v>59</v>
      </c>
      <c r="Z438">
        <v>0.82</v>
      </c>
      <c r="AA438">
        <v>0.89</v>
      </c>
      <c r="AB438">
        <v>99</v>
      </c>
      <c r="AC438">
        <v>5.2</v>
      </c>
      <c r="AD438">
        <v>57.252679999999998</v>
      </c>
      <c r="AE438">
        <v>-56.067500000000003</v>
      </c>
      <c r="AF438">
        <v>-34.894100000000002</v>
      </c>
      <c r="AG438" t="s">
        <v>70</v>
      </c>
      <c r="AH438" t="s">
        <v>58</v>
      </c>
      <c r="AI438">
        <v>12021.64</v>
      </c>
      <c r="AJ438">
        <v>7.176145</v>
      </c>
      <c r="AK438">
        <v>40200000000</v>
      </c>
      <c r="AL438">
        <v>27.842610000000001</v>
      </c>
      <c r="AM438">
        <v>57.252679999999998</v>
      </c>
      <c r="AN438">
        <v>-5.6937939999999996</v>
      </c>
      <c r="AO438">
        <v>57.851779999999998</v>
      </c>
      <c r="AP438">
        <v>65.208089999999999</v>
      </c>
      <c r="AQ438">
        <v>7.0537919999999996</v>
      </c>
      <c r="AR438">
        <v>12.213089999999999</v>
      </c>
      <c r="AS438">
        <v>0.63463349999999996</v>
      </c>
      <c r="AT438">
        <v>2.0643280000000002</v>
      </c>
      <c r="AU438">
        <v>10.91642</v>
      </c>
      <c r="AV438">
        <v>2.0643280000000002</v>
      </c>
      <c r="AW438">
        <v>24.41601</v>
      </c>
      <c r="AX438">
        <v>0.2299995</v>
      </c>
      <c r="AY438">
        <v>0</v>
      </c>
      <c r="AZ438" s="1">
        <v>3.7500001490116099E-2</v>
      </c>
      <c r="BA438" s="1">
        <v>0.23350000381469699</v>
      </c>
      <c r="BB438" s="1">
        <v>0.27099999785423301</v>
      </c>
      <c r="BC438" s="1">
        <v>2.3899050000000002</v>
      </c>
      <c r="BD438" s="2">
        <v>76.055011642438004</v>
      </c>
      <c r="BE438" s="2">
        <f t="shared" si="12"/>
        <v>6.7111779693459965</v>
      </c>
      <c r="BF438" s="2">
        <f t="shared" si="13"/>
        <v>9.6781178857006065</v>
      </c>
      <c r="BG438">
        <v>84996</v>
      </c>
      <c r="BH438" s="3">
        <v>12456</v>
      </c>
      <c r="BI438">
        <v>17.1712158808933</v>
      </c>
      <c r="BJ438" s="3">
        <v>55267</v>
      </c>
      <c r="BK438">
        <v>8216</v>
      </c>
      <c r="BL438">
        <v>17.46190304138063</v>
      </c>
      <c r="BM438" s="3">
        <v>2116.6</v>
      </c>
      <c r="BN438">
        <v>876.59999999999991</v>
      </c>
      <c r="BO438">
        <v>70.693548387096769</v>
      </c>
      <c r="BP438">
        <v>7912491202.9899302</v>
      </c>
      <c r="BQ438">
        <v>1280938111.9967899</v>
      </c>
      <c r="BR438">
        <v>19.31580874677061</v>
      </c>
      <c r="BS438">
        <v>0.73290250000000001</v>
      </c>
      <c r="BT438">
        <v>2.3526950000000002</v>
      </c>
      <c r="BU438">
        <v>6.3384529938107503</v>
      </c>
    </row>
    <row r="439" spans="1:73" x14ac:dyDescent="0.2">
      <c r="A439">
        <v>437</v>
      </c>
      <c r="B439" t="s">
        <v>96</v>
      </c>
      <c r="C439">
        <v>2009</v>
      </c>
      <c r="D439">
        <v>17</v>
      </c>
      <c r="E439">
        <v>0</v>
      </c>
      <c r="F439" t="s">
        <v>97</v>
      </c>
      <c r="G439">
        <v>0.59899999999999998</v>
      </c>
      <c r="H439">
        <v>0</v>
      </c>
      <c r="I439">
        <v>1.7549999999999999</v>
      </c>
      <c r="J439">
        <v>1.7929999999999999</v>
      </c>
      <c r="K439">
        <v>2.944</v>
      </c>
      <c r="L439">
        <v>2.976</v>
      </c>
      <c r="M439">
        <v>1.2949999999999999</v>
      </c>
      <c r="N439">
        <v>1.32</v>
      </c>
      <c r="O439">
        <v>-3.3039999999999998</v>
      </c>
      <c r="P439">
        <v>5.4820000000000002</v>
      </c>
      <c r="Q439">
        <v>1</v>
      </c>
      <c r="R439">
        <v>15144</v>
      </c>
      <c r="S439">
        <v>3.9489999999999998</v>
      </c>
      <c r="T439">
        <v>7.06</v>
      </c>
      <c r="U439">
        <v>7.74</v>
      </c>
      <c r="V439">
        <v>45.5</v>
      </c>
      <c r="W439" t="s">
        <v>54</v>
      </c>
      <c r="X439" t="s">
        <v>55</v>
      </c>
      <c r="Y439" t="s">
        <v>59</v>
      </c>
      <c r="Z439">
        <v>0.82299999999999995</v>
      </c>
      <c r="AA439">
        <v>0.89300000000000002</v>
      </c>
      <c r="AB439">
        <v>99</v>
      </c>
      <c r="AC439">
        <v>5.2</v>
      </c>
      <c r="AD439">
        <v>49.273330000000001</v>
      </c>
      <c r="AE439">
        <v>-56.067500000000003</v>
      </c>
      <c r="AF439">
        <v>-34.894100000000002</v>
      </c>
      <c r="AG439" t="s">
        <v>70</v>
      </c>
      <c r="AH439" t="s">
        <v>58</v>
      </c>
      <c r="AI439">
        <v>12496.4</v>
      </c>
      <c r="AJ439">
        <v>4.2434940000000001</v>
      </c>
      <c r="AK439">
        <v>41900000000</v>
      </c>
      <c r="AL439">
        <v>20.521879999999999</v>
      </c>
      <c r="AM439">
        <v>49.273330000000001</v>
      </c>
      <c r="AN439">
        <v>-1.204278</v>
      </c>
      <c r="AO439">
        <v>57.257129999999997</v>
      </c>
      <c r="AP439">
        <v>53.394419999999997</v>
      </c>
      <c r="AQ439">
        <v>5.0617359999999998</v>
      </c>
      <c r="AR439">
        <v>12.94379</v>
      </c>
      <c r="AS439">
        <v>2.9326509999999999</v>
      </c>
      <c r="AT439">
        <v>1.954445</v>
      </c>
      <c r="AU439">
        <v>10.91642</v>
      </c>
      <c r="AV439">
        <v>1.954445</v>
      </c>
      <c r="AW439">
        <v>24.45757</v>
      </c>
      <c r="AX439">
        <v>0.82000019999999996</v>
      </c>
      <c r="AY439">
        <v>0</v>
      </c>
      <c r="AZ439" s="1">
        <v>7.0000002160668399E-3</v>
      </c>
      <c r="BA439" s="1">
        <v>7.5999997556209606E-2</v>
      </c>
      <c r="BB439" s="1">
        <v>8.2999996840953799E-2</v>
      </c>
      <c r="BC439" s="1">
        <v>2.3899050000000002</v>
      </c>
      <c r="BD439" s="2">
        <v>62.680215270536998</v>
      </c>
      <c r="BE439" s="2">
        <f t="shared" si="12"/>
        <v>13.374796371901006</v>
      </c>
      <c r="BF439" s="2">
        <f t="shared" si="13"/>
        <v>17.585687100780078</v>
      </c>
      <c r="BG439">
        <v>97701</v>
      </c>
      <c r="BH439" s="3">
        <v>12705</v>
      </c>
      <c r="BI439">
        <v>14.947762247635183</v>
      </c>
      <c r="BJ439" s="3">
        <v>61844</v>
      </c>
      <c r="BK439">
        <v>6577</v>
      </c>
      <c r="BL439">
        <v>11.900410733349014</v>
      </c>
      <c r="BM439" s="3">
        <v>1512.3</v>
      </c>
      <c r="BN439">
        <v>604.29999999999995</v>
      </c>
      <c r="BO439">
        <v>28.550505527733154</v>
      </c>
      <c r="BP439">
        <v>7450659012.3994799</v>
      </c>
      <c r="BQ439">
        <v>461832190.59045029</v>
      </c>
      <c r="BR439">
        <v>5.836748234436401</v>
      </c>
      <c r="BS439">
        <v>0.73070809999999997</v>
      </c>
      <c r="BT439">
        <v>0.56598280000000001</v>
      </c>
      <c r="BU439">
        <v>6.9044358219458397</v>
      </c>
    </row>
    <row r="440" spans="1:73" x14ac:dyDescent="0.2">
      <c r="A440">
        <v>438</v>
      </c>
      <c r="B440" t="s">
        <v>96</v>
      </c>
      <c r="C440">
        <v>2010</v>
      </c>
      <c r="D440">
        <v>17</v>
      </c>
      <c r="E440">
        <v>1</v>
      </c>
      <c r="F440" t="s">
        <v>97</v>
      </c>
      <c r="G440">
        <v>0.62599000000000005</v>
      </c>
      <c r="H440">
        <v>0</v>
      </c>
      <c r="I440">
        <v>2.052</v>
      </c>
      <c r="J440">
        <v>2.0790000000000002</v>
      </c>
      <c r="K440">
        <v>3.1840000000000002</v>
      </c>
      <c r="L440">
        <v>3.2040000000000002</v>
      </c>
      <c r="M440">
        <v>1.4079999999999999</v>
      </c>
      <c r="N440">
        <v>1.429</v>
      </c>
      <c r="O440">
        <v>-3.3039999999999998</v>
      </c>
      <c r="P440">
        <v>4.6950000000000003</v>
      </c>
      <c r="Q440">
        <v>0</v>
      </c>
      <c r="R440">
        <v>16415.599999999999</v>
      </c>
      <c r="S440">
        <v>7.4950000000000001</v>
      </c>
      <c r="T440">
        <v>6.7</v>
      </c>
      <c r="U440">
        <v>7.16</v>
      </c>
      <c r="V440">
        <v>44.5</v>
      </c>
      <c r="W440" t="s">
        <v>54</v>
      </c>
      <c r="X440" t="s">
        <v>55</v>
      </c>
      <c r="Y440" t="s">
        <v>59</v>
      </c>
      <c r="Z440">
        <v>0.83799999999999997</v>
      </c>
      <c r="AA440">
        <v>0.90900000000000003</v>
      </c>
      <c r="AB440">
        <v>99</v>
      </c>
      <c r="AC440">
        <v>5.2</v>
      </c>
      <c r="AD440">
        <v>44.222700000000003</v>
      </c>
      <c r="AE440">
        <v>-56.067500000000003</v>
      </c>
      <c r="AF440">
        <v>-34.894100000000002</v>
      </c>
      <c r="AG440" t="s">
        <v>70</v>
      </c>
      <c r="AH440" t="s">
        <v>58</v>
      </c>
      <c r="AI440">
        <v>13433.06</v>
      </c>
      <c r="AJ440">
        <v>7.8034100000000004</v>
      </c>
      <c r="AK440">
        <v>45100000000</v>
      </c>
      <c r="AL440">
        <v>22.28913</v>
      </c>
      <c r="AM440">
        <v>44.222700000000003</v>
      </c>
      <c r="AN440">
        <v>-1.8142</v>
      </c>
      <c r="AO440">
        <v>56.749450000000003</v>
      </c>
      <c r="AP440">
        <v>51.699039999999997</v>
      </c>
      <c r="AQ440">
        <v>5.4389880000000002</v>
      </c>
      <c r="AR440">
        <v>12.645899999999999</v>
      </c>
      <c r="AS440">
        <v>3.5599159999999999</v>
      </c>
      <c r="AT440">
        <v>1.902107</v>
      </c>
      <c r="AU440">
        <v>10.91642</v>
      </c>
      <c r="AV440">
        <v>1.902107</v>
      </c>
      <c r="AW440">
        <v>24.532710000000002</v>
      </c>
      <c r="AX440">
        <v>0.36000009999999999</v>
      </c>
      <c r="AY440">
        <v>0</v>
      </c>
      <c r="AZ440" s="1">
        <v>7.0000002160668399E-3</v>
      </c>
      <c r="BA440" s="1">
        <v>7.5999997556209606E-2</v>
      </c>
      <c r="BB440" s="1">
        <v>8.2999996840953799E-2</v>
      </c>
      <c r="BC440" s="1">
        <v>2.65394</v>
      </c>
      <c r="BD440" s="2">
        <v>60.707773322289</v>
      </c>
      <c r="BE440" s="2">
        <f t="shared" si="12"/>
        <v>1.9724419482479973</v>
      </c>
      <c r="BF440" s="2">
        <f t="shared" si="13"/>
        <v>3.1468333982814971</v>
      </c>
      <c r="BG440">
        <v>127399</v>
      </c>
      <c r="BH440" s="3">
        <v>29698</v>
      </c>
      <c r="BI440">
        <v>30.39682295984688</v>
      </c>
      <c r="BJ440" s="3">
        <v>79252</v>
      </c>
      <c r="BK440">
        <v>17408</v>
      </c>
      <c r="BL440">
        <v>28.148243968695429</v>
      </c>
      <c r="BM440" s="3">
        <v>2348.7818000000002</v>
      </c>
      <c r="BN440">
        <v>836.48180000000025</v>
      </c>
      <c r="BO440">
        <v>55.311895787872793</v>
      </c>
      <c r="BP440">
        <v>8644241466.2765503</v>
      </c>
      <c r="BQ440">
        <v>1193582453.8770704</v>
      </c>
      <c r="BR440">
        <v>16.019823909411176</v>
      </c>
      <c r="BS440">
        <v>0.2978983</v>
      </c>
      <c r="BT440">
        <v>2.9551850000000002</v>
      </c>
      <c r="BU440">
        <v>3.9492501238095099</v>
      </c>
    </row>
    <row r="441" spans="1:73" x14ac:dyDescent="0.2">
      <c r="A441">
        <v>439</v>
      </c>
      <c r="B441" t="s">
        <v>96</v>
      </c>
      <c r="C441">
        <v>2011</v>
      </c>
      <c r="D441">
        <v>17</v>
      </c>
      <c r="E441">
        <v>0</v>
      </c>
      <c r="F441" t="s">
        <v>97</v>
      </c>
      <c r="G441">
        <v>0.62599000000000005</v>
      </c>
      <c r="H441">
        <v>0</v>
      </c>
      <c r="I441">
        <v>2.052</v>
      </c>
      <c r="J441">
        <v>2.0790000000000002</v>
      </c>
      <c r="K441">
        <v>3.1840000000000002</v>
      </c>
      <c r="L441">
        <v>3.2040000000000002</v>
      </c>
      <c r="M441">
        <v>1.4079999999999999</v>
      </c>
      <c r="N441">
        <v>1.429</v>
      </c>
      <c r="O441">
        <v>-3.3039999999999998</v>
      </c>
      <c r="P441">
        <v>5.633</v>
      </c>
      <c r="Q441">
        <v>0</v>
      </c>
      <c r="R441">
        <v>17211</v>
      </c>
      <c r="S441">
        <v>4.8609999999999998</v>
      </c>
      <c r="T441">
        <v>8.09</v>
      </c>
      <c r="U441">
        <v>6.31</v>
      </c>
      <c r="V441">
        <v>42.2</v>
      </c>
      <c r="W441" t="s">
        <v>54</v>
      </c>
      <c r="X441" t="s">
        <v>55</v>
      </c>
      <c r="Y441" t="s">
        <v>59</v>
      </c>
      <c r="Z441">
        <v>0.83699999999999997</v>
      </c>
      <c r="AA441">
        <v>0.90700000000000003</v>
      </c>
      <c r="AB441">
        <v>99</v>
      </c>
      <c r="AC441">
        <v>5.2</v>
      </c>
      <c r="AD441">
        <v>45.35145</v>
      </c>
      <c r="AE441">
        <v>-56.067500000000003</v>
      </c>
      <c r="AF441">
        <v>-34.894100000000002</v>
      </c>
      <c r="AG441" t="s">
        <v>70</v>
      </c>
      <c r="AH441" t="s">
        <v>58</v>
      </c>
      <c r="AI441">
        <v>14086.02</v>
      </c>
      <c r="AJ441">
        <v>5.1621329999999999</v>
      </c>
      <c r="AK441">
        <v>47500000000</v>
      </c>
      <c r="AL441">
        <v>23.06438</v>
      </c>
      <c r="AM441">
        <v>45.35145</v>
      </c>
      <c r="AN441">
        <v>-2.7409059999999998</v>
      </c>
      <c r="AO441">
        <v>56.301009999999998</v>
      </c>
      <c r="AP441">
        <v>53.247030000000002</v>
      </c>
      <c r="AQ441">
        <v>5.608752</v>
      </c>
      <c r="AR441">
        <v>12.76046</v>
      </c>
      <c r="AS441">
        <v>2.641276</v>
      </c>
      <c r="AT441">
        <v>2.0906289999999998</v>
      </c>
      <c r="AU441">
        <v>10.91642</v>
      </c>
      <c r="AV441">
        <v>2.0906289999999998</v>
      </c>
      <c r="AW441">
        <v>24.58304</v>
      </c>
      <c r="AX441">
        <v>1.39</v>
      </c>
      <c r="AY441">
        <v>0</v>
      </c>
      <c r="AZ441" s="1">
        <v>7.0000002160668399E-3</v>
      </c>
      <c r="BA441" s="1">
        <v>7.5999997556209606E-2</v>
      </c>
      <c r="BB441" s="1">
        <v>8.2999996840953799E-2</v>
      </c>
      <c r="BC441" s="1">
        <v>2.65394</v>
      </c>
      <c r="BD441" s="2">
        <v>62.404448284190998</v>
      </c>
      <c r="BE441" s="2">
        <f t="shared" si="12"/>
        <v>1.6966749619019978</v>
      </c>
      <c r="BF441" s="2">
        <f t="shared" si="13"/>
        <v>2.7948232475841106</v>
      </c>
      <c r="BG441">
        <v>155594</v>
      </c>
      <c r="BH441" s="3">
        <v>28195</v>
      </c>
      <c r="BI441">
        <v>22.131256917244247</v>
      </c>
      <c r="BJ441" s="3">
        <v>94492</v>
      </c>
      <c r="BK441">
        <v>15240</v>
      </c>
      <c r="BL441">
        <v>19.229798617069601</v>
      </c>
      <c r="BM441" s="3">
        <v>2510.8986</v>
      </c>
      <c r="BN441">
        <v>162.11679999999978</v>
      </c>
      <c r="BO441">
        <v>6.9021651989980413</v>
      </c>
      <c r="BP441">
        <v>9247458944.0625992</v>
      </c>
      <c r="BQ441">
        <v>603217477.78604889</v>
      </c>
      <c r="BR441">
        <v>6.9782580708713224</v>
      </c>
      <c r="BS441">
        <v>0.114563</v>
      </c>
      <c r="BT441">
        <v>3.546179</v>
      </c>
      <c r="BU441">
        <v>7.4954295394228199</v>
      </c>
    </row>
    <row r="442" spans="1:73" x14ac:dyDescent="0.2">
      <c r="A442">
        <v>440</v>
      </c>
      <c r="B442" t="s">
        <v>96</v>
      </c>
      <c r="C442">
        <v>2012</v>
      </c>
      <c r="D442">
        <v>17</v>
      </c>
      <c r="E442">
        <v>0</v>
      </c>
      <c r="F442" t="s">
        <v>97</v>
      </c>
      <c r="G442">
        <v>0.62599000000000005</v>
      </c>
      <c r="H442">
        <v>0</v>
      </c>
      <c r="I442">
        <v>2.052</v>
      </c>
      <c r="J442">
        <v>2.0790000000000002</v>
      </c>
      <c r="K442">
        <v>3.1840000000000002</v>
      </c>
      <c r="L442">
        <v>3.2040000000000002</v>
      </c>
      <c r="M442">
        <v>1.4079999999999999</v>
      </c>
      <c r="N442">
        <v>1.429</v>
      </c>
      <c r="O442">
        <v>-3.3039999999999998</v>
      </c>
      <c r="P442">
        <v>5.633</v>
      </c>
      <c r="Q442">
        <v>0</v>
      </c>
      <c r="R442">
        <v>17876</v>
      </c>
      <c r="S442">
        <v>3.2309999999999999</v>
      </c>
      <c r="T442">
        <v>8.1</v>
      </c>
      <c r="U442">
        <v>6.45</v>
      </c>
      <c r="V442">
        <v>39.9</v>
      </c>
      <c r="W442" t="s">
        <v>54</v>
      </c>
      <c r="X442" t="s">
        <v>55</v>
      </c>
      <c r="Y442" t="s">
        <v>59</v>
      </c>
      <c r="Z442">
        <v>0.83699999999999997</v>
      </c>
      <c r="AA442">
        <v>0.90700000000000003</v>
      </c>
      <c r="AB442">
        <v>99</v>
      </c>
      <c r="AC442">
        <v>5.2</v>
      </c>
      <c r="AD442">
        <v>43.403449999999999</v>
      </c>
      <c r="AE442">
        <v>-56.067500000000003</v>
      </c>
      <c r="AF442">
        <v>-34.894100000000002</v>
      </c>
      <c r="AG442" t="s">
        <v>70</v>
      </c>
      <c r="AH442" t="s">
        <v>58</v>
      </c>
      <c r="AI442">
        <v>14541.03</v>
      </c>
      <c r="AJ442">
        <v>3.538179</v>
      </c>
      <c r="AK442">
        <v>49100000000</v>
      </c>
      <c r="AL442">
        <v>23.454029999999999</v>
      </c>
      <c r="AM442">
        <v>43.403449999999999</v>
      </c>
      <c r="AN442">
        <v>-3.9724499999999998</v>
      </c>
      <c r="AO442">
        <v>55.957630000000002</v>
      </c>
      <c r="AP442">
        <v>55.061149999999998</v>
      </c>
      <c r="AQ442">
        <v>12.47273</v>
      </c>
      <c r="AR442">
        <v>13.27383</v>
      </c>
      <c r="AS442">
        <v>1.623955</v>
      </c>
      <c r="AT442">
        <v>2.0918640000000002</v>
      </c>
      <c r="AU442">
        <v>10.91642</v>
      </c>
      <c r="AV442">
        <v>2.0918640000000002</v>
      </c>
      <c r="AW442">
        <v>24.617809999999999</v>
      </c>
      <c r="AX442">
        <v>1.0000200000000001E-2</v>
      </c>
      <c r="AY442">
        <v>0</v>
      </c>
      <c r="AZ442" s="1">
        <v>7.0000002160668399E-3</v>
      </c>
      <c r="BA442" s="1">
        <v>7.5999997556209606E-2</v>
      </c>
      <c r="BB442" s="1">
        <v>8.2999996840953799E-2</v>
      </c>
      <c r="BC442" s="1">
        <v>2.65394</v>
      </c>
      <c r="BD442" s="2">
        <v>64.291247451478995</v>
      </c>
      <c r="BE442" s="2">
        <f t="shared" si="12"/>
        <v>1.8867991672879967</v>
      </c>
      <c r="BF442" s="2">
        <f t="shared" si="13"/>
        <v>3.0235010791145509</v>
      </c>
      <c r="BG442">
        <v>171989</v>
      </c>
      <c r="BH442" s="3">
        <v>16395</v>
      </c>
      <c r="BI442">
        <v>10.5370387032919</v>
      </c>
      <c r="BJ442" s="3">
        <v>103202</v>
      </c>
      <c r="BK442">
        <v>8710</v>
      </c>
      <c r="BL442">
        <v>9.2177115523007238</v>
      </c>
      <c r="BM442" s="3">
        <v>2240.2309</v>
      </c>
      <c r="BN442">
        <v>270.66769999999997</v>
      </c>
      <c r="BO442">
        <v>10.779714481500765</v>
      </c>
      <c r="BP442">
        <v>10926256462.7318</v>
      </c>
      <c r="BQ442">
        <v>1678797518.6692009</v>
      </c>
      <c r="BR442">
        <v>18.154149467698751</v>
      </c>
      <c r="BS442">
        <v>0.51337529999999998</v>
      </c>
      <c r="BT442">
        <v>2.6346180000000001</v>
      </c>
      <c r="BU442">
        <v>4.8608114597728997</v>
      </c>
    </row>
    <row r="443" spans="1:73" x14ac:dyDescent="0.2">
      <c r="A443">
        <v>441</v>
      </c>
      <c r="B443" t="s">
        <v>96</v>
      </c>
      <c r="C443">
        <v>2013</v>
      </c>
      <c r="D443">
        <v>17</v>
      </c>
      <c r="E443">
        <v>0</v>
      </c>
      <c r="F443" t="s">
        <v>97</v>
      </c>
      <c r="G443">
        <v>0.69667000000000001</v>
      </c>
      <c r="H443">
        <v>0</v>
      </c>
      <c r="I443">
        <v>2.052</v>
      </c>
      <c r="J443">
        <v>2.0790000000000002</v>
      </c>
      <c r="K443">
        <v>3.1840000000000002</v>
      </c>
      <c r="L443">
        <v>3.2040000000000002</v>
      </c>
      <c r="M443">
        <v>1.4079999999999999</v>
      </c>
      <c r="N443">
        <v>1.429</v>
      </c>
      <c r="O443">
        <v>-3.3039999999999998</v>
      </c>
      <c r="P443">
        <v>4.7030000000000003</v>
      </c>
      <c r="Q443">
        <v>0</v>
      </c>
      <c r="R443">
        <v>18589</v>
      </c>
      <c r="S443">
        <v>4.3140000000000001</v>
      </c>
      <c r="T443">
        <v>8.58</v>
      </c>
      <c r="U443">
        <v>6.44</v>
      </c>
      <c r="V443">
        <v>40.5</v>
      </c>
      <c r="W443" t="s">
        <v>54</v>
      </c>
      <c r="X443" t="s">
        <v>55</v>
      </c>
      <c r="Y443" t="s">
        <v>59</v>
      </c>
      <c r="Z443">
        <v>0.82899999999999996</v>
      </c>
      <c r="AA443">
        <v>0.90500000000000003</v>
      </c>
      <c r="AB443">
        <v>99</v>
      </c>
      <c r="AC443">
        <v>5.2</v>
      </c>
      <c r="AD443">
        <v>42.740850000000002</v>
      </c>
      <c r="AE443">
        <v>-56.067500000000003</v>
      </c>
      <c r="AF443">
        <v>-34.894100000000002</v>
      </c>
      <c r="AG443" t="s">
        <v>70</v>
      </c>
      <c r="AH443" t="s">
        <v>58</v>
      </c>
      <c r="AI443">
        <v>15168.42</v>
      </c>
      <c r="AJ443">
        <v>4.6375380000000002</v>
      </c>
      <c r="AK443">
        <v>51400000000</v>
      </c>
      <c r="AL443">
        <v>25.989719999999998</v>
      </c>
      <c r="AM443">
        <v>42.740850000000002</v>
      </c>
      <c r="AN443">
        <v>-3.5046979999999999</v>
      </c>
      <c r="AO443">
        <v>55.69211</v>
      </c>
      <c r="AP443">
        <v>49.717849999999999</v>
      </c>
      <c r="AQ443">
        <v>1.715468</v>
      </c>
      <c r="AR443">
        <v>13.52243</v>
      </c>
      <c r="AS443">
        <v>1.0993599999999999</v>
      </c>
      <c r="AT443">
        <v>2.1494339999999998</v>
      </c>
      <c r="AU443">
        <v>10.91642</v>
      </c>
      <c r="AV443">
        <v>2.1494339999999998</v>
      </c>
      <c r="AW443">
        <v>24.663150000000002</v>
      </c>
      <c r="AX443">
        <v>0.47999950000000002</v>
      </c>
      <c r="AY443">
        <v>0</v>
      </c>
      <c r="AZ443" s="1">
        <v>7.0000002160668399E-3</v>
      </c>
      <c r="BA443" s="1">
        <v>7.5999997556209606E-2</v>
      </c>
      <c r="BB443" s="1">
        <v>8.2999996840953799E-2</v>
      </c>
      <c r="BC443" s="1">
        <v>2.65394</v>
      </c>
      <c r="BD443" s="2">
        <v>58.043492283706001</v>
      </c>
      <c r="BE443" s="2">
        <f t="shared" si="12"/>
        <v>6.2477551677729934</v>
      </c>
      <c r="BF443" s="2">
        <f t="shared" si="13"/>
        <v>9.717893827597937</v>
      </c>
      <c r="BG443">
        <v>195932</v>
      </c>
      <c r="BH443" s="3">
        <v>23943</v>
      </c>
      <c r="BI443">
        <v>13.921239149015344</v>
      </c>
      <c r="BJ443" s="3">
        <v>116671</v>
      </c>
      <c r="BK443">
        <v>13469</v>
      </c>
      <c r="BL443">
        <v>13.051103660781768</v>
      </c>
      <c r="BM443" s="3">
        <v>3045.1421</v>
      </c>
      <c r="BN443">
        <v>804.91120000000001</v>
      </c>
      <c r="BO443">
        <v>35.929832054365463</v>
      </c>
      <c r="BP443">
        <v>11341047488.6194</v>
      </c>
      <c r="BQ443">
        <v>414791025.88759995</v>
      </c>
      <c r="BR443">
        <v>3.7962775933587527</v>
      </c>
      <c r="BS443">
        <v>0.24859519999999999</v>
      </c>
      <c r="BT443">
        <v>1.6305529999999999</v>
      </c>
      <c r="BU443">
        <v>3.2302583586057101</v>
      </c>
    </row>
    <row r="444" spans="1:73" x14ac:dyDescent="0.2">
      <c r="A444">
        <v>442</v>
      </c>
      <c r="B444" t="s">
        <v>96</v>
      </c>
      <c r="C444">
        <v>2014</v>
      </c>
      <c r="D444">
        <v>17</v>
      </c>
      <c r="E444">
        <v>0</v>
      </c>
      <c r="F444" t="s">
        <v>97</v>
      </c>
      <c r="G444">
        <v>0.71033999999999997</v>
      </c>
      <c r="H444">
        <v>0</v>
      </c>
      <c r="I444">
        <v>2.052</v>
      </c>
      <c r="J444">
        <v>2.0790000000000002</v>
      </c>
      <c r="K444">
        <v>3.1840000000000002</v>
      </c>
      <c r="L444">
        <v>3.2040000000000002</v>
      </c>
      <c r="M444">
        <v>1.4079999999999999</v>
      </c>
      <c r="N444">
        <v>1.429</v>
      </c>
      <c r="O444">
        <v>-3.3039999999999998</v>
      </c>
      <c r="P444">
        <v>4.7030000000000003</v>
      </c>
      <c r="Q444">
        <v>1</v>
      </c>
      <c r="R444">
        <v>19160</v>
      </c>
      <c r="S444">
        <v>2.9049999999999998</v>
      </c>
      <c r="T444">
        <v>8.8800000000000008</v>
      </c>
      <c r="U444">
        <v>6.55</v>
      </c>
      <c r="V444">
        <v>40.1</v>
      </c>
      <c r="W444" t="s">
        <v>54</v>
      </c>
      <c r="X444" t="s">
        <v>55</v>
      </c>
      <c r="Y444" t="s">
        <v>59</v>
      </c>
      <c r="Z444">
        <v>0.82799999999999996</v>
      </c>
      <c r="AA444">
        <v>0.90400000000000003</v>
      </c>
      <c r="AB444">
        <v>99</v>
      </c>
      <c r="AC444">
        <v>5.2</v>
      </c>
      <c r="AD444">
        <v>44.357959999999999</v>
      </c>
      <c r="AE444">
        <v>-56.067500000000003</v>
      </c>
      <c r="AF444">
        <v>-34.894100000000002</v>
      </c>
      <c r="AG444" t="s">
        <v>70</v>
      </c>
      <c r="AH444" t="s">
        <v>58</v>
      </c>
      <c r="AI444">
        <v>15609.02</v>
      </c>
      <c r="AJ444">
        <v>3.238791</v>
      </c>
      <c r="AK444">
        <v>53100000000</v>
      </c>
      <c r="AL444">
        <v>27.040030000000002</v>
      </c>
      <c r="AM444">
        <v>44.357959999999999</v>
      </c>
      <c r="AN444">
        <v>-3.2119330000000001</v>
      </c>
      <c r="AO444">
        <v>55.44764</v>
      </c>
      <c r="AP444">
        <v>49.087620000000001</v>
      </c>
      <c r="AQ444">
        <v>7.1375130000000002</v>
      </c>
      <c r="AR444">
        <v>13.696389999999999</v>
      </c>
      <c r="AS444">
        <v>1.398747</v>
      </c>
      <c r="AT444">
        <v>2.183802</v>
      </c>
      <c r="AU444">
        <v>10.91642</v>
      </c>
      <c r="AV444">
        <v>2.183802</v>
      </c>
      <c r="AW444">
        <v>24.69502</v>
      </c>
      <c r="AX444">
        <v>0.30000019999999999</v>
      </c>
      <c r="AY444">
        <v>0</v>
      </c>
      <c r="AZ444" s="1">
        <v>4.5000002719461901E-3</v>
      </c>
      <c r="BA444" s="1">
        <v>3.70000004768372E-2</v>
      </c>
      <c r="BB444" s="1">
        <v>4.1500002145767198E-2</v>
      </c>
      <c r="BC444" s="1">
        <v>2.65394</v>
      </c>
      <c r="BD444" s="2">
        <v>57.390572066936997</v>
      </c>
      <c r="BE444" s="2">
        <f t="shared" si="12"/>
        <v>0.65292021676900447</v>
      </c>
      <c r="BF444" s="2">
        <f t="shared" si="13"/>
        <v>1.1248810005739309</v>
      </c>
      <c r="BG444">
        <v>87128</v>
      </c>
      <c r="BH444" s="3">
        <v>108804</v>
      </c>
      <c r="BI444">
        <v>55.531510932364291</v>
      </c>
      <c r="BJ444" s="3">
        <v>117872</v>
      </c>
      <c r="BK444">
        <v>1201</v>
      </c>
      <c r="BL444">
        <v>1.0293903369303425</v>
      </c>
      <c r="BM444" s="3">
        <v>2247.2712000000001</v>
      </c>
      <c r="BN444">
        <v>797.87089999999989</v>
      </c>
      <c r="BO444">
        <v>26.201434080859478</v>
      </c>
      <c r="BP444">
        <v>11613882524.878901</v>
      </c>
      <c r="BQ444">
        <v>272835036.2595005</v>
      </c>
      <c r="BR444">
        <v>2.4057304806569859</v>
      </c>
      <c r="BS444">
        <v>0.17396349999999999</v>
      </c>
      <c r="BT444">
        <v>1.0843320000000001</v>
      </c>
      <c r="BU444">
        <v>4.3145901354786798</v>
      </c>
    </row>
    <row r="445" spans="1:73" x14ac:dyDescent="0.2">
      <c r="A445">
        <v>443</v>
      </c>
      <c r="B445" t="s">
        <v>96</v>
      </c>
      <c r="C445">
        <v>2015</v>
      </c>
      <c r="D445">
        <v>17</v>
      </c>
      <c r="E445">
        <v>1</v>
      </c>
      <c r="F445" t="s">
        <v>97</v>
      </c>
      <c r="G445">
        <v>0.72402</v>
      </c>
      <c r="H445">
        <v>0</v>
      </c>
      <c r="I445">
        <v>2.9780000000000002</v>
      </c>
      <c r="J445">
        <v>3.02</v>
      </c>
      <c r="K445">
        <v>3.835</v>
      </c>
      <c r="L445">
        <v>3.8620000000000001</v>
      </c>
      <c r="M445">
        <v>1.673</v>
      </c>
      <c r="N445">
        <v>1.6950000000000001</v>
      </c>
      <c r="O445">
        <v>-3.3039999999999998</v>
      </c>
      <c r="P445">
        <v>5.8570000000000002</v>
      </c>
      <c r="Q445">
        <v>0</v>
      </c>
      <c r="R445">
        <v>19244</v>
      </c>
      <c r="S445">
        <v>0.03</v>
      </c>
      <c r="T445">
        <v>8.67</v>
      </c>
      <c r="U445">
        <v>7.49</v>
      </c>
      <c r="V445">
        <v>40.1</v>
      </c>
      <c r="W445" t="s">
        <v>54</v>
      </c>
      <c r="X445" t="s">
        <v>55</v>
      </c>
      <c r="Y445" t="s">
        <v>59</v>
      </c>
      <c r="Z445">
        <v>0.81499999999999995</v>
      </c>
      <c r="AA445">
        <v>0.89200000000000002</v>
      </c>
      <c r="AB445">
        <v>99</v>
      </c>
      <c r="AC445">
        <v>5.2</v>
      </c>
      <c r="AD445">
        <v>51.186480000000003</v>
      </c>
      <c r="AE445">
        <v>-56.067500000000003</v>
      </c>
      <c r="AF445">
        <v>-34.894100000000002</v>
      </c>
      <c r="AG445" t="s">
        <v>70</v>
      </c>
      <c r="AH445" t="s">
        <v>58</v>
      </c>
      <c r="AI445">
        <v>15613.75</v>
      </c>
      <c r="AJ445">
        <v>0.3707413</v>
      </c>
      <c r="AK445">
        <v>53300000000</v>
      </c>
      <c r="AL445">
        <v>30.114319999999999</v>
      </c>
      <c r="AM445">
        <v>51.186480000000003</v>
      </c>
      <c r="AN445">
        <v>-0.27610590000000002</v>
      </c>
      <c r="AO445">
        <v>55.20308</v>
      </c>
      <c r="AP445">
        <v>45.328240000000001</v>
      </c>
      <c r="AQ445">
        <v>5.017506</v>
      </c>
      <c r="AR445">
        <v>13.83581</v>
      </c>
      <c r="AS445">
        <v>2.8680500000000002</v>
      </c>
      <c r="AT445">
        <v>2.159869</v>
      </c>
      <c r="AU445">
        <v>10.91642</v>
      </c>
      <c r="AV445">
        <v>2.159869</v>
      </c>
      <c r="AW445">
        <v>24.698720000000002</v>
      </c>
      <c r="AX445">
        <v>0.21</v>
      </c>
      <c r="AY445">
        <v>0</v>
      </c>
      <c r="AZ445" s="1">
        <v>4.5000002719461901E-3</v>
      </c>
      <c r="BA445" s="1">
        <v>3.70000004768372E-2</v>
      </c>
      <c r="BB445" s="1">
        <v>4.1500002145767198E-2</v>
      </c>
      <c r="BC445" s="1">
        <v>2.6467729000000002</v>
      </c>
      <c r="BD445" s="2">
        <v>53.121249356295998</v>
      </c>
      <c r="BE445" s="2">
        <f t="shared" si="12"/>
        <v>4.2693227106409992</v>
      </c>
      <c r="BF445" s="2">
        <f t="shared" si="13"/>
        <v>7.4390663080714932</v>
      </c>
      <c r="BG445">
        <v>85871</v>
      </c>
      <c r="BH445" s="3">
        <v>1257</v>
      </c>
      <c r="BI445">
        <v>1.4427049857680654</v>
      </c>
      <c r="BJ445" s="3">
        <v>123946</v>
      </c>
      <c r="BK445">
        <v>6074</v>
      </c>
      <c r="BL445">
        <v>5.1530473734220168</v>
      </c>
      <c r="BM445" s="3">
        <v>774.7002</v>
      </c>
      <c r="BN445">
        <v>1472.5710000000001</v>
      </c>
      <c r="BO445">
        <v>65.527071231990163</v>
      </c>
      <c r="BP445">
        <v>10540979840.745899</v>
      </c>
      <c r="BQ445">
        <v>1072902684.1330013</v>
      </c>
      <c r="BR445">
        <v>9.2381051886366379</v>
      </c>
      <c r="BS445">
        <v>0.1394167</v>
      </c>
      <c r="BT445">
        <v>1.4098550000000001</v>
      </c>
      <c r="BU445">
        <v>2.9047354029574599</v>
      </c>
    </row>
    <row r="446" spans="1:73" x14ac:dyDescent="0.2">
      <c r="A446">
        <v>444</v>
      </c>
      <c r="B446" t="s">
        <v>96</v>
      </c>
      <c r="C446">
        <v>2016</v>
      </c>
      <c r="D446">
        <v>17</v>
      </c>
      <c r="E446">
        <v>0</v>
      </c>
      <c r="F446" t="s">
        <v>97</v>
      </c>
      <c r="G446">
        <v>0.73768999999999996</v>
      </c>
      <c r="H446">
        <v>0</v>
      </c>
      <c r="I446">
        <v>2.9780000000000002</v>
      </c>
      <c r="J446">
        <v>3.02</v>
      </c>
      <c r="K446">
        <v>3.835</v>
      </c>
      <c r="L446">
        <v>3.8620000000000001</v>
      </c>
      <c r="M446">
        <v>1.673</v>
      </c>
      <c r="N446">
        <v>1.6950000000000001</v>
      </c>
      <c r="O446">
        <v>-3.3039999999999998</v>
      </c>
      <c r="P446">
        <v>5.1890000000000001</v>
      </c>
      <c r="Q446">
        <v>0</v>
      </c>
      <c r="R446">
        <v>19468</v>
      </c>
      <c r="S446">
        <v>1.33</v>
      </c>
      <c r="T446">
        <v>9.64</v>
      </c>
      <c r="U446">
        <v>7.84</v>
      </c>
      <c r="V446">
        <v>39.700000000000003</v>
      </c>
      <c r="W446" t="s">
        <v>54</v>
      </c>
      <c r="X446" t="s">
        <v>55</v>
      </c>
      <c r="Y446" t="s">
        <v>59</v>
      </c>
      <c r="Z446">
        <v>0.81499999999999995</v>
      </c>
      <c r="AA446">
        <v>0.89200000000000002</v>
      </c>
      <c r="AB446">
        <v>99</v>
      </c>
      <c r="AC446">
        <v>5.2</v>
      </c>
      <c r="AD446">
        <v>46.65663</v>
      </c>
      <c r="AE446">
        <v>-56.067500000000003</v>
      </c>
      <c r="AF446">
        <v>-34.894100000000002</v>
      </c>
      <c r="AG446" t="s">
        <v>70</v>
      </c>
      <c r="AH446" t="s">
        <v>58</v>
      </c>
      <c r="AI446">
        <v>15821.36</v>
      </c>
      <c r="AJ446">
        <v>1.6897979999999999</v>
      </c>
      <c r="AK446">
        <v>54200000000</v>
      </c>
      <c r="AL446">
        <v>25.791119999999999</v>
      </c>
      <c r="AM446">
        <v>46.65663</v>
      </c>
      <c r="AN446">
        <v>0.82858129999999997</v>
      </c>
      <c r="AO446">
        <v>55.118340000000003</v>
      </c>
      <c r="AP446">
        <v>48.573180000000001</v>
      </c>
      <c r="AQ446">
        <v>-0.90090890000000001</v>
      </c>
      <c r="AS446">
        <v>1.3190569999999999</v>
      </c>
      <c r="AT446">
        <v>2.2659210000000001</v>
      </c>
      <c r="AU446">
        <v>10.91642</v>
      </c>
      <c r="AV446">
        <v>2.2659210000000001</v>
      </c>
      <c r="AW446">
        <v>24.715479999999999</v>
      </c>
      <c r="AX446">
        <v>0.97000030000000004</v>
      </c>
      <c r="AY446">
        <v>0</v>
      </c>
      <c r="AZ446" s="1">
        <v>4.5000002719461901E-3</v>
      </c>
      <c r="BA446" s="1">
        <v>3.70000004768372E-2</v>
      </c>
      <c r="BB446" s="1">
        <v>4.1500002145767198E-2</v>
      </c>
      <c r="BC446" s="1">
        <v>2.6467729000000002</v>
      </c>
      <c r="BD446" s="2">
        <v>48.573185320040999</v>
      </c>
      <c r="BE446" s="2">
        <f t="shared" si="12"/>
        <v>4.5480640362549991</v>
      </c>
      <c r="BF446" s="2">
        <f t="shared" si="13"/>
        <v>8.5616661719496197</v>
      </c>
      <c r="BG446">
        <v>88636</v>
      </c>
      <c r="BH446" s="3">
        <v>2765</v>
      </c>
      <c r="BI446">
        <v>3.2199461983673183</v>
      </c>
      <c r="BJ446" s="3">
        <v>132120</v>
      </c>
      <c r="BK446">
        <v>8174</v>
      </c>
      <c r="BL446">
        <v>6.5948074161328316</v>
      </c>
      <c r="BM446" s="3">
        <v>-1823.4073000000001</v>
      </c>
      <c r="BN446">
        <v>2598.1075000000001</v>
      </c>
      <c r="BO446">
        <v>335.3694112896834</v>
      </c>
      <c r="BP446">
        <v>10367992814.303301</v>
      </c>
      <c r="BQ446">
        <v>172987026.44259834</v>
      </c>
      <c r="BR446">
        <v>1.6410905727560661</v>
      </c>
      <c r="BT446">
        <v>2.8744649999999998</v>
      </c>
      <c r="BU446">
        <v>3.02704170296124E-2</v>
      </c>
    </row>
    <row r="447" spans="1:73" x14ac:dyDescent="0.2">
      <c r="A447">
        <v>445</v>
      </c>
      <c r="B447" t="s">
        <v>96</v>
      </c>
      <c r="C447">
        <v>2017</v>
      </c>
      <c r="D447">
        <v>17</v>
      </c>
      <c r="E447">
        <v>0</v>
      </c>
      <c r="F447" t="s">
        <v>97</v>
      </c>
      <c r="G447">
        <v>0.75136999999999998</v>
      </c>
      <c r="H447">
        <v>0</v>
      </c>
      <c r="I447">
        <v>2.9780000000000002</v>
      </c>
      <c r="J447">
        <v>3.02</v>
      </c>
      <c r="K447">
        <v>3.835</v>
      </c>
      <c r="L447">
        <v>3.8620000000000001</v>
      </c>
      <c r="M447">
        <v>1.673</v>
      </c>
      <c r="N447">
        <v>1.6950000000000001</v>
      </c>
      <c r="O447">
        <v>-3.3039999999999998</v>
      </c>
      <c r="P447">
        <v>5.1890000000000001</v>
      </c>
      <c r="Q447">
        <v>0</v>
      </c>
      <c r="R447">
        <v>19918.099999999999</v>
      </c>
      <c r="S447">
        <v>2.218</v>
      </c>
      <c r="T447">
        <v>6.22</v>
      </c>
      <c r="U447">
        <v>7.89</v>
      </c>
      <c r="V447">
        <v>39.5</v>
      </c>
      <c r="W447" t="s">
        <v>54</v>
      </c>
      <c r="X447" t="s">
        <v>55</v>
      </c>
      <c r="Y447" t="s">
        <v>59</v>
      </c>
      <c r="Z447">
        <v>0.80400000000000005</v>
      </c>
      <c r="AA447">
        <v>0.88</v>
      </c>
      <c r="AB447">
        <v>99</v>
      </c>
      <c r="AC447">
        <v>5.2</v>
      </c>
      <c r="AE447">
        <v>-56.067500000000003</v>
      </c>
      <c r="AF447">
        <v>-34.894100000000002</v>
      </c>
      <c r="AG447" t="s">
        <v>70</v>
      </c>
      <c r="AH447" t="s">
        <v>58</v>
      </c>
      <c r="AI447">
        <v>16020.38</v>
      </c>
      <c r="AJ447">
        <v>1.6277539999999999</v>
      </c>
      <c r="AK447">
        <v>55100000000</v>
      </c>
      <c r="AL447">
        <v>24.213889999999999</v>
      </c>
      <c r="AN447">
        <v>1.16945E-2</v>
      </c>
      <c r="AO447">
        <v>54.98413</v>
      </c>
      <c r="AP447">
        <v>46.80471</v>
      </c>
      <c r="AQ447">
        <v>4.1823810000000003</v>
      </c>
      <c r="AS447">
        <v>6.2044099999999998E-2</v>
      </c>
      <c r="AT447">
        <v>1.8277699999999999</v>
      </c>
      <c r="AU447">
        <v>10.91642</v>
      </c>
      <c r="AV447">
        <v>1.8277699999999999</v>
      </c>
      <c r="AW447">
        <v>24.731619999999999</v>
      </c>
      <c r="AX447">
        <v>3.4200010000000001</v>
      </c>
      <c r="AY447">
        <v>0</v>
      </c>
      <c r="AZ447" s="1">
        <v>4.5000002719461901E-3</v>
      </c>
      <c r="BA447" s="1">
        <v>3.70000004768372E-2</v>
      </c>
      <c r="BB447" s="1">
        <v>4.1500002145767198E-2</v>
      </c>
      <c r="BC447" s="1" t="s">
        <v>101</v>
      </c>
      <c r="BD447" s="2">
        <v>46.804705121870001</v>
      </c>
      <c r="BE447" s="2">
        <f t="shared" si="12"/>
        <v>1.7684801981709981</v>
      </c>
      <c r="BF447" s="2">
        <f t="shared" si="13"/>
        <v>3.6408569594906388</v>
      </c>
      <c r="BG447">
        <v>86755</v>
      </c>
      <c r="BH447" s="3">
        <v>1881</v>
      </c>
      <c r="BI447">
        <v>2.1221625524617536</v>
      </c>
      <c r="BJ447" s="3">
        <v>145779</v>
      </c>
      <c r="BK447">
        <v>13659</v>
      </c>
      <c r="BL447">
        <v>10.338328792007266</v>
      </c>
      <c r="BM447" s="3">
        <v>-2037.3413</v>
      </c>
      <c r="BN447">
        <v>213.93399999999997</v>
      </c>
      <c r="BO447">
        <v>-11.732650187371739</v>
      </c>
      <c r="BP447">
        <v>10406596708.2279</v>
      </c>
      <c r="BQ447">
        <v>38603893.924598694</v>
      </c>
      <c r="BR447">
        <v>0.37233719791300574</v>
      </c>
      <c r="BT447">
        <v>1.2994110000000001</v>
      </c>
      <c r="BU447">
        <v>1.32968121444294</v>
      </c>
    </row>
    <row r="448" spans="1:73" x14ac:dyDescent="0.2">
      <c r="A448">
        <v>446</v>
      </c>
      <c r="B448" t="s">
        <v>96</v>
      </c>
      <c r="C448">
        <v>2018</v>
      </c>
      <c r="D448">
        <v>17</v>
      </c>
      <c r="E448">
        <v>0</v>
      </c>
      <c r="F448" t="s">
        <v>97</v>
      </c>
      <c r="G448">
        <v>0.76504000000000005</v>
      </c>
      <c r="H448">
        <v>0</v>
      </c>
      <c r="I448">
        <v>2.9780000000000002</v>
      </c>
      <c r="J448">
        <v>3.02</v>
      </c>
      <c r="K448">
        <v>3.835</v>
      </c>
      <c r="L448">
        <v>3.8620000000000001</v>
      </c>
      <c r="M448">
        <v>1.673</v>
      </c>
      <c r="N448">
        <v>1.6950000000000001</v>
      </c>
      <c r="O448">
        <v>-3.3039999999999998</v>
      </c>
      <c r="P448">
        <v>5.3330000000000002</v>
      </c>
      <c r="Q448">
        <v>0</v>
      </c>
      <c r="R448">
        <v>20185.8</v>
      </c>
      <c r="S448">
        <v>1.2470000000000001</v>
      </c>
      <c r="T448">
        <v>7.61</v>
      </c>
      <c r="U448">
        <v>8.34</v>
      </c>
      <c r="V448">
        <v>39.700000000000003</v>
      </c>
      <c r="W448" t="s">
        <v>54</v>
      </c>
      <c r="X448" t="s">
        <v>55</v>
      </c>
      <c r="Y448" t="s">
        <v>59</v>
      </c>
      <c r="Z448">
        <v>0.81799999999999995</v>
      </c>
      <c r="AA448">
        <v>0.89200000000000002</v>
      </c>
      <c r="AB448">
        <v>99</v>
      </c>
      <c r="AC448">
        <v>5.2</v>
      </c>
      <c r="AE448">
        <v>-56.067500000000003</v>
      </c>
      <c r="AF448">
        <v>-34.894100000000002</v>
      </c>
      <c r="AG448" t="s">
        <v>70</v>
      </c>
      <c r="AH448" t="s">
        <v>58</v>
      </c>
      <c r="AI448">
        <v>16037.93</v>
      </c>
      <c r="AJ448">
        <v>0.47790719999999998</v>
      </c>
      <c r="AK448">
        <v>55300000000</v>
      </c>
      <c r="AL448">
        <v>25.265560000000001</v>
      </c>
      <c r="AN448">
        <v>-0.41299789999999997</v>
      </c>
      <c r="AO448">
        <v>54.852710000000002</v>
      </c>
      <c r="AP448">
        <v>47.82535</v>
      </c>
      <c r="AQ448">
        <v>2.4170989999999999</v>
      </c>
      <c r="AS448">
        <v>1.1498470000000001</v>
      </c>
      <c r="AT448">
        <v>2.0294629999999998</v>
      </c>
      <c r="AU448">
        <v>10.91642</v>
      </c>
      <c r="AV448">
        <v>2.0294629999999998</v>
      </c>
      <c r="AW448">
        <v>24.73639</v>
      </c>
      <c r="AX448">
        <v>1.39</v>
      </c>
      <c r="AY448">
        <v>0</v>
      </c>
      <c r="AZ448" s="1">
        <v>4.5000002719461901E-3</v>
      </c>
      <c r="BA448" s="1">
        <v>3.70000004768372E-2</v>
      </c>
      <c r="BB448" s="1">
        <v>4.1500002145767198E-2</v>
      </c>
      <c r="BC448" s="1" t="s">
        <v>101</v>
      </c>
      <c r="BD448" s="2">
        <v>47.825350337949999</v>
      </c>
      <c r="BE448" s="2">
        <f t="shared" si="12"/>
        <v>1.0206452160799984</v>
      </c>
      <c r="BF448" s="2">
        <f t="shared" si="13"/>
        <v>2.1806466111098111</v>
      </c>
      <c r="BG448">
        <v>89426</v>
      </c>
      <c r="BH448" s="3">
        <v>2671</v>
      </c>
      <c r="BI448">
        <v>3.0787850844331737</v>
      </c>
      <c r="BJ448" s="3">
        <v>155305</v>
      </c>
      <c r="BK448">
        <v>9526</v>
      </c>
      <c r="BL448">
        <v>6.5345488719225679</v>
      </c>
      <c r="BM448" s="3">
        <v>-708.3537</v>
      </c>
      <c r="BN448">
        <v>1328.9875999999999</v>
      </c>
      <c r="BO448">
        <v>-65.231466126956718</v>
      </c>
      <c r="BP448">
        <v>9470815521.2019997</v>
      </c>
      <c r="BQ448">
        <v>935781187.02589989</v>
      </c>
      <c r="BR448">
        <v>8.9921922917031214</v>
      </c>
      <c r="BT448">
        <v>7.1752099999999999E-2</v>
      </c>
      <c r="BU448">
        <v>1.25792913208215</v>
      </c>
    </row>
    <row r="449" spans="1:73" x14ac:dyDescent="0.2">
      <c r="A449">
        <v>447</v>
      </c>
      <c r="B449" t="s">
        <v>96</v>
      </c>
      <c r="C449">
        <v>2019</v>
      </c>
      <c r="D449">
        <v>17</v>
      </c>
      <c r="E449">
        <v>0</v>
      </c>
      <c r="F449" t="s">
        <v>97</v>
      </c>
      <c r="G449">
        <v>0.77871000000000001</v>
      </c>
      <c r="H449">
        <v>0</v>
      </c>
      <c r="I449">
        <v>2.9780000000000002</v>
      </c>
      <c r="J449">
        <v>3.02</v>
      </c>
      <c r="K449">
        <v>3.835</v>
      </c>
      <c r="L449">
        <v>3.8620000000000001</v>
      </c>
      <c r="M449">
        <v>1.673</v>
      </c>
      <c r="N449">
        <v>1.6950000000000001</v>
      </c>
      <c r="O449">
        <v>-2.7959999999999998</v>
      </c>
      <c r="Q449">
        <v>0</v>
      </c>
      <c r="S449">
        <v>-0.13800000000000001</v>
      </c>
      <c r="T449">
        <v>7.88</v>
      </c>
      <c r="U449">
        <v>9.35</v>
      </c>
      <c r="V449">
        <v>39.700000000000003</v>
      </c>
      <c r="W449" t="s">
        <v>54</v>
      </c>
      <c r="X449" t="s">
        <v>55</v>
      </c>
      <c r="Y449" t="s">
        <v>59</v>
      </c>
      <c r="Z449">
        <v>0.81499999999999995</v>
      </c>
      <c r="AA449">
        <v>0.88900000000000001</v>
      </c>
      <c r="AB449">
        <v>99</v>
      </c>
      <c r="AC449">
        <v>5.2</v>
      </c>
      <c r="AE449">
        <v>-56.067500000000003</v>
      </c>
      <c r="AF449">
        <v>-34.894100000000002</v>
      </c>
      <c r="AG449" t="s">
        <v>70</v>
      </c>
      <c r="AH449" t="s">
        <v>58</v>
      </c>
      <c r="AI449">
        <v>16036.3</v>
      </c>
      <c r="AJ449">
        <v>0.35044710000000001</v>
      </c>
      <c r="AK449">
        <v>55500000000</v>
      </c>
      <c r="AL449">
        <v>25.71791</v>
      </c>
      <c r="AN449">
        <v>1.6010709999999999</v>
      </c>
      <c r="AO449">
        <v>54.79712</v>
      </c>
      <c r="AP449">
        <v>49.607039999999998</v>
      </c>
      <c r="AQ449">
        <v>2.3008440000000001</v>
      </c>
      <c r="AS449">
        <v>0.12745999999999999</v>
      </c>
      <c r="AT449">
        <v>2.0643280000000002</v>
      </c>
      <c r="AU449">
        <v>7.8176160000000001</v>
      </c>
      <c r="AV449">
        <v>2.0643280000000002</v>
      </c>
      <c r="AW449">
        <v>24.739889999999999</v>
      </c>
      <c r="AX449">
        <v>0.27</v>
      </c>
      <c r="AY449">
        <v>0.403366682547245</v>
      </c>
      <c r="AZ449" s="1" t="s">
        <v>101</v>
      </c>
      <c r="BA449" s="1" t="s">
        <v>101</v>
      </c>
      <c r="BB449" s="1" t="s">
        <v>101</v>
      </c>
      <c r="BC449" s="1" t="s">
        <v>101</v>
      </c>
      <c r="BD449" s="2">
        <v>49.607043580772</v>
      </c>
      <c r="BE449" s="2">
        <f t="shared" si="12"/>
        <v>1.7816932428220014</v>
      </c>
      <c r="BF449" s="2">
        <f t="shared" si="13"/>
        <v>3.7254159775766578</v>
      </c>
      <c r="BG449">
        <v>89475</v>
      </c>
      <c r="BH449" s="3">
        <v>49</v>
      </c>
      <c r="BI449">
        <v>5.4793907812045711E-2</v>
      </c>
      <c r="BJ449" s="3">
        <v>162952</v>
      </c>
      <c r="BK449">
        <v>7647</v>
      </c>
      <c r="BL449">
        <v>4.9238595022697274</v>
      </c>
      <c r="BM449" s="3">
        <v>1397.2832000000001</v>
      </c>
      <c r="BN449">
        <v>2105.6369</v>
      </c>
      <c r="BO449">
        <v>-297.25783884519836</v>
      </c>
      <c r="BP449">
        <v>9543260936.9274406</v>
      </c>
      <c r="BQ449">
        <v>72445415.725440979</v>
      </c>
      <c r="BR449">
        <v>0.76493323688186976</v>
      </c>
      <c r="BT449">
        <v>1.148371</v>
      </c>
      <c r="BU449">
        <v>0.109558005853614</v>
      </c>
    </row>
    <row r="450" spans="1:73" x14ac:dyDescent="0.2">
      <c r="A450">
        <v>448</v>
      </c>
      <c r="B450" t="s">
        <v>98</v>
      </c>
      <c r="C450">
        <v>1992</v>
      </c>
      <c r="D450">
        <v>18</v>
      </c>
      <c r="E450">
        <v>0</v>
      </c>
      <c r="F450" t="s">
        <v>99</v>
      </c>
      <c r="G450">
        <v>0.72704999999999997</v>
      </c>
      <c r="H450">
        <v>0</v>
      </c>
      <c r="O450">
        <v>-0.83899999999999997</v>
      </c>
      <c r="Q450">
        <v>0</v>
      </c>
      <c r="R450">
        <v>14901.6</v>
      </c>
      <c r="S450">
        <v>3.68</v>
      </c>
      <c r="U450">
        <v>7.69</v>
      </c>
      <c r="V450">
        <v>42.1</v>
      </c>
      <c r="W450" t="s">
        <v>64</v>
      </c>
      <c r="X450" t="s">
        <v>65</v>
      </c>
      <c r="Y450" t="s">
        <v>56</v>
      </c>
      <c r="Z450">
        <v>0.623</v>
      </c>
      <c r="AA450">
        <v>0.751</v>
      </c>
      <c r="AB450">
        <v>207</v>
      </c>
      <c r="AE450">
        <v>-69.837100000000007</v>
      </c>
      <c r="AF450">
        <v>9.0816499999999998</v>
      </c>
      <c r="AG450" t="s">
        <v>57</v>
      </c>
      <c r="AH450" t="s">
        <v>58</v>
      </c>
      <c r="AJ450">
        <v>6.060473</v>
      </c>
      <c r="AL450">
        <v>18.588339999999999</v>
      </c>
      <c r="AN450">
        <v>-6.2067690000000004</v>
      </c>
      <c r="AO450">
        <v>69.986329999999995</v>
      </c>
      <c r="AP450">
        <v>53.476140000000001</v>
      </c>
      <c r="AQ450">
        <v>1.0413600000000001</v>
      </c>
      <c r="AR450">
        <v>8.8870269999999998</v>
      </c>
      <c r="AU450">
        <v>0.70392100000000002</v>
      </c>
      <c r="AY450">
        <v>1.95728124503732</v>
      </c>
      <c r="AZ450" s="1">
        <v>0.14550000429153401</v>
      </c>
      <c r="BA450" s="1">
        <v>9.2500001192092896E-2</v>
      </c>
      <c r="BB450" s="1">
        <v>0.23800000548362699</v>
      </c>
      <c r="BC450" s="1">
        <v>2.8003360000000002</v>
      </c>
      <c r="BD450" s="2">
        <v>56.382405947236997</v>
      </c>
      <c r="BE450" s="2"/>
      <c r="BF450" s="2"/>
      <c r="BH450" s="3"/>
      <c r="BM450" s="3">
        <v>473</v>
      </c>
      <c r="BN450">
        <v>1255</v>
      </c>
      <c r="BO450">
        <v>72.62731481481481</v>
      </c>
      <c r="BU450">
        <v>-1.01989840723036E-2</v>
      </c>
    </row>
    <row r="451" spans="1:73" x14ac:dyDescent="0.2">
      <c r="A451">
        <v>449</v>
      </c>
      <c r="B451" t="s">
        <v>98</v>
      </c>
      <c r="C451">
        <v>1993</v>
      </c>
      <c r="D451">
        <v>18</v>
      </c>
      <c r="E451">
        <v>1</v>
      </c>
      <c r="F451" t="s">
        <v>99</v>
      </c>
      <c r="G451">
        <v>0.72704999999999997</v>
      </c>
      <c r="H451">
        <v>0</v>
      </c>
      <c r="I451">
        <v>0.377</v>
      </c>
      <c r="J451">
        <v>0.40100000000000002</v>
      </c>
      <c r="K451">
        <v>1.3640000000000001</v>
      </c>
      <c r="L451">
        <v>1.407</v>
      </c>
      <c r="M451">
        <v>0.48899999999999999</v>
      </c>
      <c r="N451">
        <v>0.51400000000000001</v>
      </c>
      <c r="O451">
        <v>-1.8420000000000001</v>
      </c>
      <c r="Q451">
        <v>1</v>
      </c>
      <c r="R451">
        <v>14693.9</v>
      </c>
      <c r="S451">
        <v>-1.9159999999999999</v>
      </c>
      <c r="U451">
        <v>6.6</v>
      </c>
      <c r="W451" t="s">
        <v>64</v>
      </c>
      <c r="X451" t="s">
        <v>65</v>
      </c>
      <c r="Y451" t="s">
        <v>56</v>
      </c>
      <c r="Z451">
        <v>0.622</v>
      </c>
      <c r="AA451">
        <v>0.751</v>
      </c>
      <c r="AB451">
        <v>207</v>
      </c>
      <c r="AE451">
        <v>-69.837100000000007</v>
      </c>
      <c r="AF451">
        <v>9.0816499999999998</v>
      </c>
      <c r="AG451" t="s">
        <v>57</v>
      </c>
      <c r="AH451" t="s">
        <v>58</v>
      </c>
      <c r="AJ451">
        <v>0.27538820000000003</v>
      </c>
      <c r="AL451">
        <v>15.76515</v>
      </c>
      <c r="AN451">
        <v>-3.3180710000000002</v>
      </c>
      <c r="AO451">
        <v>68.981729999999999</v>
      </c>
      <c r="AP451">
        <v>52.390189999999997</v>
      </c>
      <c r="AQ451">
        <v>0.61932900000000002</v>
      </c>
      <c r="AR451">
        <v>8.2686290000000007</v>
      </c>
      <c r="AS451">
        <v>5.7850849999999996</v>
      </c>
      <c r="AU451">
        <v>3.3929640000000001</v>
      </c>
      <c r="AY451">
        <v>1.1608702556773101</v>
      </c>
      <c r="AZ451" s="1">
        <v>0.20350000262260401</v>
      </c>
      <c r="BA451" s="1">
        <v>0.25150001049041798</v>
      </c>
      <c r="BB451" s="1">
        <v>0.45500001311302202</v>
      </c>
      <c r="BC451" s="1">
        <v>2.8003360000000002</v>
      </c>
      <c r="BD451" s="2">
        <v>55.258634018233998</v>
      </c>
      <c r="BE451" s="2">
        <f t="shared" si="12"/>
        <v>1.1237719290029986</v>
      </c>
      <c r="BF451" s="2">
        <f t="shared" si="13"/>
        <v>1.9931251781887975</v>
      </c>
      <c r="BH451" s="3"/>
      <c r="BM451" s="3">
        <v>-514</v>
      </c>
      <c r="BN451">
        <v>987</v>
      </c>
      <c r="BO451">
        <v>208.66807610993658</v>
      </c>
      <c r="BS451">
        <v>0.61839770000000005</v>
      </c>
      <c r="BT451">
        <v>3.6903380000000001</v>
      </c>
      <c r="BU451">
        <v>3.68013910857769</v>
      </c>
    </row>
    <row r="452" spans="1:73" x14ac:dyDescent="0.2">
      <c r="A452">
        <v>450</v>
      </c>
      <c r="B452" t="s">
        <v>98</v>
      </c>
      <c r="C452">
        <v>1994</v>
      </c>
      <c r="D452">
        <v>18</v>
      </c>
      <c r="E452">
        <v>0</v>
      </c>
      <c r="F452" t="s">
        <v>99</v>
      </c>
      <c r="G452">
        <v>0.72704999999999997</v>
      </c>
      <c r="H452">
        <v>0</v>
      </c>
      <c r="I452">
        <v>0.377</v>
      </c>
      <c r="J452">
        <v>0.40100000000000002</v>
      </c>
      <c r="K452">
        <v>1.3640000000000001</v>
      </c>
      <c r="L452">
        <v>1.407</v>
      </c>
      <c r="M452">
        <v>0.48899999999999999</v>
      </c>
      <c r="N452">
        <v>0.51400000000000001</v>
      </c>
      <c r="O452">
        <v>-1.968</v>
      </c>
      <c r="Q452">
        <v>0</v>
      </c>
      <c r="R452">
        <v>14129.3</v>
      </c>
      <c r="S452">
        <v>-4.431</v>
      </c>
      <c r="U452">
        <v>8.56</v>
      </c>
      <c r="W452" t="s">
        <v>64</v>
      </c>
      <c r="X452" t="s">
        <v>65</v>
      </c>
      <c r="Y452" t="s">
        <v>56</v>
      </c>
      <c r="Z452">
        <v>0.61799999999999999</v>
      </c>
      <c r="AA452">
        <v>0.76100000000000001</v>
      </c>
      <c r="AB452">
        <v>207</v>
      </c>
      <c r="AE452">
        <v>-69.837100000000007</v>
      </c>
      <c r="AF452">
        <v>9.0816499999999998</v>
      </c>
      <c r="AG452" t="s">
        <v>57</v>
      </c>
      <c r="AH452" t="s">
        <v>58</v>
      </c>
      <c r="AJ452">
        <v>-2.3495080000000002</v>
      </c>
      <c r="AL452">
        <v>9.1984340000000007</v>
      </c>
      <c r="AN452">
        <v>4.3496370000000004</v>
      </c>
      <c r="AO452">
        <v>67.980040000000002</v>
      </c>
      <c r="AP452">
        <v>51.444809999999997</v>
      </c>
      <c r="AQ452">
        <v>1.3711370000000001</v>
      </c>
      <c r="AR452">
        <v>6.9939869999999997</v>
      </c>
      <c r="AS452">
        <v>2.6248960000000001</v>
      </c>
      <c r="AU452">
        <v>3.873024</v>
      </c>
      <c r="AY452">
        <v>1.06082261394315</v>
      </c>
      <c r="AZ452" s="1">
        <v>0.20350000262260401</v>
      </c>
      <c r="BA452" s="1">
        <v>0.25150001049041798</v>
      </c>
      <c r="BB452" s="1">
        <v>0.45500001311302202</v>
      </c>
      <c r="BC452" s="1">
        <v>4.6496719999999998</v>
      </c>
      <c r="BD452" s="2">
        <v>54.343130279272998</v>
      </c>
      <c r="BE452" s="2">
        <f t="shared" ref="BE452:BE477" si="14">ABS(BD452-BD451)</f>
        <v>0.91550373896100012</v>
      </c>
      <c r="BF452" s="2">
        <f t="shared" ref="BF452:BF477" si="15">100*ABS(BD452-BD451)/BD451</f>
        <v>1.6567614368804453</v>
      </c>
      <c r="BH452" s="3"/>
      <c r="BM452" s="3">
        <v>455</v>
      </c>
      <c r="BN452">
        <v>969</v>
      </c>
      <c r="BO452">
        <v>-188.52140077821011</v>
      </c>
      <c r="BS452">
        <v>1.2746420000000001</v>
      </c>
      <c r="BT452">
        <v>5.5957049999999997</v>
      </c>
      <c r="BU452">
        <v>-1.91556578399383</v>
      </c>
    </row>
    <row r="453" spans="1:73" x14ac:dyDescent="0.2">
      <c r="A453">
        <v>451</v>
      </c>
      <c r="B453" t="s">
        <v>98</v>
      </c>
      <c r="C453">
        <v>1995</v>
      </c>
      <c r="D453">
        <v>18</v>
      </c>
      <c r="E453">
        <v>0</v>
      </c>
      <c r="F453" t="s">
        <v>99</v>
      </c>
      <c r="G453">
        <v>0.72704999999999997</v>
      </c>
      <c r="H453">
        <v>0</v>
      </c>
      <c r="I453">
        <v>0.377</v>
      </c>
      <c r="J453">
        <v>0.40100000000000002</v>
      </c>
      <c r="K453">
        <v>1.3640000000000001</v>
      </c>
      <c r="L453">
        <v>1.407</v>
      </c>
      <c r="M453">
        <v>0.48899999999999999</v>
      </c>
      <c r="N453">
        <v>0.51400000000000001</v>
      </c>
      <c r="O453">
        <v>-1.968</v>
      </c>
      <c r="P453">
        <v>5.1680000000000001</v>
      </c>
      <c r="Q453">
        <v>0</v>
      </c>
      <c r="R453">
        <v>14448.3</v>
      </c>
      <c r="S453">
        <v>1.788</v>
      </c>
      <c r="U453">
        <v>10.24</v>
      </c>
      <c r="V453">
        <v>47.2</v>
      </c>
      <c r="W453" t="s">
        <v>64</v>
      </c>
      <c r="X453" t="s">
        <v>65</v>
      </c>
      <c r="Y453" t="s">
        <v>56</v>
      </c>
      <c r="Z453">
        <v>0.62</v>
      </c>
      <c r="AA453">
        <v>0.76100000000000001</v>
      </c>
      <c r="AB453">
        <v>207</v>
      </c>
      <c r="AE453">
        <v>-69.837100000000007</v>
      </c>
      <c r="AF453">
        <v>9.0816499999999998</v>
      </c>
      <c r="AG453" t="s">
        <v>57</v>
      </c>
      <c r="AH453" t="s">
        <v>58</v>
      </c>
      <c r="AJ453">
        <v>3.9516629999999999</v>
      </c>
      <c r="AL453">
        <v>8.6559200000000001</v>
      </c>
      <c r="AN453">
        <v>2.601807</v>
      </c>
      <c r="AO453">
        <v>67.045299999999997</v>
      </c>
      <c r="AP453">
        <v>47.34234</v>
      </c>
      <c r="AQ453">
        <v>1.2866930000000001</v>
      </c>
      <c r="AR453">
        <v>6.8927889999999996</v>
      </c>
      <c r="AS453">
        <v>6.3011710000000001</v>
      </c>
      <c r="AU453">
        <v>3.873024</v>
      </c>
      <c r="AY453">
        <v>1.06082261394315</v>
      </c>
      <c r="AZ453" s="1">
        <v>0.20350000262260401</v>
      </c>
      <c r="BA453" s="1">
        <v>0.25150001049041798</v>
      </c>
      <c r="BB453" s="1">
        <v>0.45500001311302202</v>
      </c>
      <c r="BC453" s="1">
        <v>4.6496719999999998</v>
      </c>
      <c r="BD453" s="2">
        <v>49.985461905846002</v>
      </c>
      <c r="BE453" s="2">
        <f t="shared" si="14"/>
        <v>4.3576683734269963</v>
      </c>
      <c r="BF453" s="2">
        <f t="shared" si="15"/>
        <v>8.0188026545998472</v>
      </c>
      <c r="BH453" s="3"/>
      <c r="BM453" s="3">
        <v>894</v>
      </c>
      <c r="BN453">
        <v>439</v>
      </c>
      <c r="BO453">
        <v>96.483516483516482</v>
      </c>
      <c r="BS453">
        <v>0.1011977</v>
      </c>
      <c r="BT453">
        <v>2.515012</v>
      </c>
      <c r="BU453">
        <v>-4.4305775853362697</v>
      </c>
    </row>
    <row r="454" spans="1:73" x14ac:dyDescent="0.2">
      <c r="A454">
        <v>452</v>
      </c>
      <c r="B454" t="s">
        <v>98</v>
      </c>
      <c r="C454">
        <v>1996</v>
      </c>
      <c r="D454">
        <v>18</v>
      </c>
      <c r="E454">
        <v>0</v>
      </c>
      <c r="F454" t="s">
        <v>99</v>
      </c>
      <c r="G454">
        <v>0.72704999999999997</v>
      </c>
      <c r="H454">
        <v>1</v>
      </c>
      <c r="I454">
        <v>0.377</v>
      </c>
      <c r="J454">
        <v>0.40100000000000002</v>
      </c>
      <c r="K454">
        <v>1.3640000000000001</v>
      </c>
      <c r="L454">
        <v>1.407</v>
      </c>
      <c r="M454">
        <v>0.48899999999999999</v>
      </c>
      <c r="N454">
        <v>0.51400000000000001</v>
      </c>
      <c r="O454">
        <v>-1.968</v>
      </c>
      <c r="P454">
        <v>5.4740000000000002</v>
      </c>
      <c r="Q454">
        <v>0</v>
      </c>
      <c r="R454">
        <v>14211.8</v>
      </c>
      <c r="S454">
        <v>-2.2240000000000002</v>
      </c>
      <c r="U454">
        <v>11.77</v>
      </c>
      <c r="W454" t="s">
        <v>64</v>
      </c>
      <c r="X454" t="s">
        <v>65</v>
      </c>
      <c r="Y454" t="s">
        <v>56</v>
      </c>
      <c r="Z454">
        <v>0.62</v>
      </c>
      <c r="AA454">
        <v>0.76100000000000001</v>
      </c>
      <c r="AB454">
        <v>207</v>
      </c>
      <c r="AE454">
        <v>-69.837100000000007</v>
      </c>
      <c r="AF454">
        <v>9.0816499999999998</v>
      </c>
      <c r="AG454" t="s">
        <v>57</v>
      </c>
      <c r="AH454" t="s">
        <v>58</v>
      </c>
      <c r="AJ454">
        <v>-0.19783729999999999</v>
      </c>
      <c r="AL454">
        <v>8.126614</v>
      </c>
      <c r="AN454">
        <v>12.636229999999999</v>
      </c>
      <c r="AO454">
        <v>66.071680000000001</v>
      </c>
      <c r="AP454">
        <v>55.972430000000003</v>
      </c>
      <c r="AQ454">
        <v>3.094557</v>
      </c>
      <c r="AR454">
        <v>4.8507930000000004</v>
      </c>
      <c r="AS454">
        <v>4.1494999999999997</v>
      </c>
      <c r="AU454">
        <v>3.873024</v>
      </c>
      <c r="AY454">
        <v>1.06082261394315</v>
      </c>
      <c r="AZ454" s="1">
        <v>0.20350000262260401</v>
      </c>
      <c r="BA454" s="1">
        <v>0.25150001049041798</v>
      </c>
      <c r="BB454" s="1">
        <v>0.45500001311302202</v>
      </c>
      <c r="BC454" s="1">
        <v>4.6496719999999998</v>
      </c>
      <c r="BD454" s="2">
        <v>59.180371811622997</v>
      </c>
      <c r="BE454" s="2">
        <f t="shared" si="14"/>
        <v>9.1949099057769956</v>
      </c>
      <c r="BF454" s="2">
        <f t="shared" si="15"/>
        <v>18.395168425364922</v>
      </c>
      <c r="BH454" s="3"/>
      <c r="BJ454" s="3">
        <v>0</v>
      </c>
      <c r="BM454" s="3">
        <v>1676</v>
      </c>
      <c r="BN454">
        <v>782</v>
      </c>
      <c r="BO454">
        <v>87.472035794183441</v>
      </c>
      <c r="BS454">
        <v>2.0419960000000001</v>
      </c>
      <c r="BT454">
        <v>6.218305</v>
      </c>
      <c r="BU454">
        <v>1.78772673706422</v>
      </c>
    </row>
    <row r="455" spans="1:73" x14ac:dyDescent="0.2">
      <c r="A455">
        <v>453</v>
      </c>
      <c r="B455" t="s">
        <v>98</v>
      </c>
      <c r="C455">
        <v>1997</v>
      </c>
      <c r="D455">
        <v>18</v>
      </c>
      <c r="E455">
        <v>0</v>
      </c>
      <c r="F455" t="s">
        <v>99</v>
      </c>
      <c r="G455">
        <v>0.72704999999999997</v>
      </c>
      <c r="H455">
        <v>0</v>
      </c>
      <c r="I455">
        <v>0.377</v>
      </c>
      <c r="J455">
        <v>0.40100000000000002</v>
      </c>
      <c r="K455">
        <v>1.3640000000000001</v>
      </c>
      <c r="L455">
        <v>1.407</v>
      </c>
      <c r="M455">
        <v>0.48899999999999999</v>
      </c>
      <c r="N455">
        <v>0.51400000000000001</v>
      </c>
      <c r="O455">
        <v>-1.968</v>
      </c>
      <c r="P455">
        <v>5.1740000000000004</v>
      </c>
      <c r="Q455">
        <v>0</v>
      </c>
      <c r="R455">
        <v>14894.3</v>
      </c>
      <c r="S455">
        <v>4.2649999999999997</v>
      </c>
      <c r="U455">
        <v>11.16</v>
      </c>
      <c r="W455" t="s">
        <v>64</v>
      </c>
      <c r="X455" t="s">
        <v>65</v>
      </c>
      <c r="Y455" t="s">
        <v>56</v>
      </c>
      <c r="Z455">
        <v>0.61899999999999999</v>
      </c>
      <c r="AA455">
        <v>0.75900000000000001</v>
      </c>
      <c r="AB455">
        <v>207</v>
      </c>
      <c r="AE455">
        <v>-69.837100000000007</v>
      </c>
      <c r="AF455">
        <v>9.0816499999999998</v>
      </c>
      <c r="AG455" t="s">
        <v>57</v>
      </c>
      <c r="AH455" t="s">
        <v>58</v>
      </c>
      <c r="AJ455">
        <v>6.3709319999999998</v>
      </c>
      <c r="AL455">
        <v>12.6069</v>
      </c>
      <c r="AN455">
        <v>4.3474449999999996</v>
      </c>
      <c r="AO455">
        <v>65.200969999999998</v>
      </c>
      <c r="AP455">
        <v>51.245040000000003</v>
      </c>
      <c r="AQ455">
        <v>7.2247719999999997</v>
      </c>
      <c r="AR455">
        <v>13.53219</v>
      </c>
      <c r="AS455">
        <v>6.5687689999999996</v>
      </c>
      <c r="AU455">
        <v>3.873024</v>
      </c>
      <c r="AY455">
        <v>1.06082261394315</v>
      </c>
      <c r="AZ455" s="1">
        <v>0.20350000262260401</v>
      </c>
      <c r="BA455" s="1">
        <v>0.25150001049041798</v>
      </c>
      <c r="BB455" s="1">
        <v>0.45500001311302202</v>
      </c>
      <c r="BC455" s="1">
        <v>4.6496719999999998</v>
      </c>
      <c r="BD455" s="2">
        <v>51.245036406540002</v>
      </c>
      <c r="BE455" s="2">
        <f t="shared" si="14"/>
        <v>7.935335405082995</v>
      </c>
      <c r="BF455" s="2">
        <f t="shared" si="15"/>
        <v>13.408728539830664</v>
      </c>
      <c r="BH455" s="3"/>
      <c r="BJ455" s="3">
        <v>0</v>
      </c>
      <c r="BK455">
        <v>0</v>
      </c>
      <c r="BL455">
        <v>0</v>
      </c>
      <c r="BM455" s="3">
        <v>5645</v>
      </c>
      <c r="BN455">
        <v>3969</v>
      </c>
      <c r="BO455">
        <v>236.81384248210023</v>
      </c>
      <c r="BS455">
        <v>8.6813979999999997</v>
      </c>
      <c r="BT455">
        <v>4.0121460000000004</v>
      </c>
      <c r="BU455">
        <v>-2.2244199336506898</v>
      </c>
    </row>
    <row r="456" spans="1:73" x14ac:dyDescent="0.2">
      <c r="A456">
        <v>454</v>
      </c>
      <c r="B456" t="s">
        <v>98</v>
      </c>
      <c r="C456">
        <v>1998</v>
      </c>
      <c r="D456">
        <v>18</v>
      </c>
      <c r="E456">
        <v>0</v>
      </c>
      <c r="F456" t="s">
        <v>99</v>
      </c>
      <c r="G456">
        <v>0.72704999999999997</v>
      </c>
      <c r="H456">
        <v>0</v>
      </c>
      <c r="O456">
        <v>-1.532</v>
      </c>
      <c r="P456">
        <v>5.3620000000000001</v>
      </c>
      <c r="Q456">
        <v>1</v>
      </c>
      <c r="R456">
        <v>14739.1</v>
      </c>
      <c r="S456">
        <v>-1.647</v>
      </c>
      <c r="U456">
        <v>11.15</v>
      </c>
      <c r="V456">
        <v>48.1</v>
      </c>
      <c r="W456" t="s">
        <v>64</v>
      </c>
      <c r="X456" t="s">
        <v>65</v>
      </c>
      <c r="Y456" t="s">
        <v>56</v>
      </c>
      <c r="Z456">
        <v>0.59699999999999998</v>
      </c>
      <c r="AA456">
        <v>0.75</v>
      </c>
      <c r="AB456">
        <v>207</v>
      </c>
      <c r="AC456">
        <v>6.9</v>
      </c>
      <c r="AE456">
        <v>-69.837100000000007</v>
      </c>
      <c r="AF456">
        <v>9.0816499999999998</v>
      </c>
      <c r="AG456" t="s">
        <v>57</v>
      </c>
      <c r="AH456" t="s">
        <v>58</v>
      </c>
      <c r="AJ456">
        <v>0.29405520000000002</v>
      </c>
      <c r="AL456">
        <v>12.040509999999999</v>
      </c>
      <c r="AN456">
        <v>-4.8526680000000004</v>
      </c>
      <c r="AO456">
        <v>64.365750000000006</v>
      </c>
      <c r="AP456">
        <v>43.59939</v>
      </c>
      <c r="AQ456">
        <v>5.500858</v>
      </c>
      <c r="AR456">
        <v>13.46772</v>
      </c>
      <c r="AS456">
        <v>6.0768769999999996</v>
      </c>
      <c r="AU456">
        <v>2.3470240000000002</v>
      </c>
      <c r="AY456">
        <v>1.4070192154994401</v>
      </c>
      <c r="AZ456" s="1">
        <v>0.211500003933907</v>
      </c>
      <c r="BA456" s="1">
        <v>0.21299999952316301</v>
      </c>
      <c r="BB456" s="1">
        <v>0.42449998855590798</v>
      </c>
      <c r="BC456" s="1">
        <v>4.6496719999999998</v>
      </c>
      <c r="BD456" s="2">
        <v>43.599392933437002</v>
      </c>
      <c r="BE456" s="2">
        <f t="shared" si="14"/>
        <v>7.6456434731030001</v>
      </c>
      <c r="BF456" s="2">
        <f t="shared" si="15"/>
        <v>14.919773717103354</v>
      </c>
      <c r="BG456">
        <v>0</v>
      </c>
      <c r="BH456" s="3">
        <v>0</v>
      </c>
      <c r="BI456">
        <v>0</v>
      </c>
      <c r="BJ456" s="3">
        <v>0</v>
      </c>
      <c r="BK456">
        <v>0</v>
      </c>
      <c r="BL456">
        <v>0</v>
      </c>
      <c r="BM456" s="3">
        <v>3942</v>
      </c>
      <c r="BN456">
        <v>1703</v>
      </c>
      <c r="BO456">
        <v>30.168290522586361</v>
      </c>
      <c r="BS456">
        <v>6.4477000000000007E-2</v>
      </c>
      <c r="BT456">
        <v>6.4896459999999996</v>
      </c>
      <c r="BU456">
        <v>4.2652262317347596</v>
      </c>
    </row>
    <row r="457" spans="1:73" x14ac:dyDescent="0.2">
      <c r="A457">
        <v>455</v>
      </c>
      <c r="B457" t="s">
        <v>98</v>
      </c>
      <c r="C457">
        <v>1999</v>
      </c>
      <c r="D457">
        <v>18</v>
      </c>
      <c r="E457">
        <v>0</v>
      </c>
      <c r="F457" t="s">
        <v>99</v>
      </c>
      <c r="G457">
        <v>0.78705000000000003</v>
      </c>
      <c r="H457">
        <v>0</v>
      </c>
      <c r="O457">
        <v>-0.40300000000000002</v>
      </c>
      <c r="P457">
        <v>5.3620000000000001</v>
      </c>
      <c r="Q457">
        <v>0</v>
      </c>
      <c r="R457">
        <v>13669.5</v>
      </c>
      <c r="S457">
        <v>-7.758</v>
      </c>
      <c r="U457">
        <v>14.53</v>
      </c>
      <c r="V457">
        <v>47.8</v>
      </c>
      <c r="W457" t="s">
        <v>64</v>
      </c>
      <c r="X457" t="s">
        <v>65</v>
      </c>
      <c r="Y457" t="s">
        <v>56</v>
      </c>
      <c r="Z457">
        <v>0.47499999999999998</v>
      </c>
      <c r="AA457">
        <v>0.70599999999999996</v>
      </c>
      <c r="AB457">
        <v>207</v>
      </c>
      <c r="AC457">
        <v>6.9</v>
      </c>
      <c r="AE457">
        <v>-69.837100000000007</v>
      </c>
      <c r="AF457">
        <v>9.0816499999999998</v>
      </c>
      <c r="AG457" t="s">
        <v>57</v>
      </c>
      <c r="AH457" t="s">
        <v>58</v>
      </c>
      <c r="AJ457">
        <v>-5.9704579999999998</v>
      </c>
      <c r="AL457">
        <v>11.21429</v>
      </c>
      <c r="AN457">
        <v>2.1556109999999999</v>
      </c>
      <c r="AO457">
        <v>63.473379999999999</v>
      </c>
      <c r="AP457">
        <v>42.070230000000002</v>
      </c>
      <c r="AQ457">
        <v>2.992543</v>
      </c>
      <c r="AR457">
        <v>12.31697</v>
      </c>
      <c r="AS457">
        <v>6.264513</v>
      </c>
      <c r="AU457">
        <v>0.162409</v>
      </c>
      <c r="AY457">
        <v>2.3034778465936201</v>
      </c>
      <c r="AZ457" s="1">
        <v>0.211500003933907</v>
      </c>
      <c r="BA457" s="1">
        <v>0.21299999952316301</v>
      </c>
      <c r="BB457" s="1">
        <v>0.42449998855590798</v>
      </c>
      <c r="BC457" s="1">
        <v>5.6521564</v>
      </c>
      <c r="BD457" s="2">
        <v>42.070230484324</v>
      </c>
      <c r="BE457" s="2">
        <f t="shared" si="14"/>
        <v>1.5291624491130023</v>
      </c>
      <c r="BF457" s="2">
        <f t="shared" si="15"/>
        <v>3.5073021577331769</v>
      </c>
      <c r="BG457">
        <v>0</v>
      </c>
      <c r="BH457" s="3">
        <v>0</v>
      </c>
      <c r="BI457">
        <v>0</v>
      </c>
      <c r="BJ457" s="3">
        <v>0</v>
      </c>
      <c r="BK457">
        <v>0</v>
      </c>
      <c r="BL457">
        <v>0</v>
      </c>
      <c r="BM457" s="3">
        <v>2018</v>
      </c>
      <c r="BN457">
        <v>1924</v>
      </c>
      <c r="BO457">
        <v>48.80771182141045</v>
      </c>
      <c r="BS457">
        <v>1.1507430000000001</v>
      </c>
      <c r="BT457">
        <v>5.9126810000000001</v>
      </c>
      <c r="BU457">
        <v>-1.6474540411280401</v>
      </c>
    </row>
    <row r="458" spans="1:73" x14ac:dyDescent="0.2">
      <c r="A458">
        <v>456</v>
      </c>
      <c r="B458" t="s">
        <v>98</v>
      </c>
      <c r="C458">
        <v>2000</v>
      </c>
      <c r="D458">
        <v>18</v>
      </c>
      <c r="E458">
        <v>1</v>
      </c>
      <c r="F458" t="s">
        <v>99</v>
      </c>
      <c r="G458">
        <v>0.78705000000000003</v>
      </c>
      <c r="H458">
        <v>0</v>
      </c>
      <c r="I458">
        <v>0.89800000000000002</v>
      </c>
      <c r="J458">
        <v>0.83299999999999996</v>
      </c>
      <c r="K458">
        <v>2.1059999999999999</v>
      </c>
      <c r="L458">
        <v>2.028</v>
      </c>
      <c r="M458">
        <v>0.78200000000000003</v>
      </c>
      <c r="N458">
        <v>0.77200000000000002</v>
      </c>
      <c r="O458">
        <v>0.57399999999999995</v>
      </c>
      <c r="P458">
        <v>5.1449999999999996</v>
      </c>
      <c r="Q458">
        <v>0</v>
      </c>
      <c r="R458">
        <v>13992.6</v>
      </c>
      <c r="S458">
        <v>1.7470000000000001</v>
      </c>
      <c r="U458">
        <v>13.99</v>
      </c>
      <c r="W458" t="s">
        <v>64</v>
      </c>
      <c r="X458" t="s">
        <v>65</v>
      </c>
      <c r="Y458" t="s">
        <v>56</v>
      </c>
      <c r="Z458">
        <v>0.32400000000000001</v>
      </c>
      <c r="AA458">
        <v>0.59899999999999998</v>
      </c>
      <c r="AB458">
        <v>165</v>
      </c>
      <c r="AC458">
        <v>6.9</v>
      </c>
      <c r="AE458">
        <v>-69.837100000000007</v>
      </c>
      <c r="AF458">
        <v>9.0816499999999998</v>
      </c>
      <c r="AG458" t="s">
        <v>57</v>
      </c>
      <c r="AH458" t="s">
        <v>58</v>
      </c>
      <c r="AJ458">
        <v>3.686944</v>
      </c>
      <c r="AL458">
        <v>10.483840000000001</v>
      </c>
      <c r="AN458">
        <v>10.118600000000001</v>
      </c>
      <c r="AO458">
        <v>62.497250000000001</v>
      </c>
      <c r="AP458">
        <v>47.857219999999998</v>
      </c>
      <c r="AQ458">
        <v>4.0148289999999998</v>
      </c>
      <c r="AR458">
        <v>12.449780000000001</v>
      </c>
      <c r="AS458">
        <v>9.6574019999999994</v>
      </c>
      <c r="AU458">
        <v>0.32947599999999999</v>
      </c>
      <c r="AY458">
        <v>3.0792440844846798</v>
      </c>
      <c r="AZ458" s="1">
        <v>0.12100000679493</v>
      </c>
      <c r="BA458" s="1">
        <v>0.30099999904632602</v>
      </c>
      <c r="BB458" s="1">
        <v>0.42199999094009399</v>
      </c>
      <c r="BC458" s="1">
        <v>3.8155633999999998</v>
      </c>
      <c r="BD458" s="2">
        <v>47.857221552981002</v>
      </c>
      <c r="BE458" s="2">
        <f t="shared" si="14"/>
        <v>5.7869910686570023</v>
      </c>
      <c r="BF458" s="2">
        <f t="shared" si="15"/>
        <v>13.75554876223776</v>
      </c>
      <c r="BG458">
        <v>0</v>
      </c>
      <c r="BH458" s="3">
        <v>0</v>
      </c>
      <c r="BI458">
        <v>0</v>
      </c>
      <c r="BJ458" s="3">
        <v>0</v>
      </c>
      <c r="BK458">
        <v>0</v>
      </c>
      <c r="BL458">
        <v>0</v>
      </c>
      <c r="BM458" s="3">
        <v>4180</v>
      </c>
      <c r="BN458">
        <v>2162</v>
      </c>
      <c r="BO458">
        <v>107.13577799801784</v>
      </c>
      <c r="BS458">
        <v>0.1328115</v>
      </c>
      <c r="BT458">
        <v>6.1104019999999997</v>
      </c>
      <c r="BU458">
        <v>-7.7578557122812697</v>
      </c>
    </row>
    <row r="459" spans="1:73" x14ac:dyDescent="0.2">
      <c r="A459">
        <v>457</v>
      </c>
      <c r="B459" t="s">
        <v>98</v>
      </c>
      <c r="C459">
        <v>2001</v>
      </c>
      <c r="D459">
        <v>18</v>
      </c>
      <c r="E459">
        <v>0</v>
      </c>
      <c r="F459" t="s">
        <v>99</v>
      </c>
      <c r="G459">
        <v>0.78105000000000002</v>
      </c>
      <c r="H459">
        <v>0</v>
      </c>
      <c r="I459">
        <v>0.89800000000000002</v>
      </c>
      <c r="J459">
        <v>0.83299999999999996</v>
      </c>
      <c r="K459">
        <v>2.1059999999999999</v>
      </c>
      <c r="L459">
        <v>2.028</v>
      </c>
      <c r="M459">
        <v>0.78200000000000003</v>
      </c>
      <c r="N459">
        <v>0.77200000000000002</v>
      </c>
      <c r="O459">
        <v>0.57399999999999995</v>
      </c>
      <c r="P459">
        <v>5.9359999999999999</v>
      </c>
      <c r="Q459">
        <v>0</v>
      </c>
      <c r="R459">
        <v>14298</v>
      </c>
      <c r="S459">
        <v>1.49</v>
      </c>
      <c r="U459">
        <v>13.04</v>
      </c>
      <c r="V459">
        <v>47.2</v>
      </c>
      <c r="W459" t="s">
        <v>64</v>
      </c>
      <c r="X459" t="s">
        <v>65</v>
      </c>
      <c r="Y459" t="s">
        <v>56</v>
      </c>
      <c r="Z459">
        <v>0.28999999999999998</v>
      </c>
      <c r="AA459">
        <v>0.53500000000000003</v>
      </c>
      <c r="AB459">
        <v>165</v>
      </c>
      <c r="AC459">
        <v>6.9</v>
      </c>
      <c r="AE459">
        <v>-69.837100000000007</v>
      </c>
      <c r="AF459">
        <v>9.0816499999999998</v>
      </c>
      <c r="AG459" t="s">
        <v>57</v>
      </c>
      <c r="AH459" t="s">
        <v>58</v>
      </c>
      <c r="AJ459">
        <v>3.3942359999999998</v>
      </c>
      <c r="AL459">
        <v>12.37007</v>
      </c>
      <c r="AN459">
        <v>1.6134550000000001</v>
      </c>
      <c r="AO459">
        <v>61.594670000000001</v>
      </c>
      <c r="AP459">
        <v>42.141269999999999</v>
      </c>
      <c r="AQ459">
        <v>3.0137350000000001</v>
      </c>
      <c r="AR459">
        <v>14.23724</v>
      </c>
      <c r="AS459">
        <v>0.29270819999999997</v>
      </c>
      <c r="AU459">
        <v>0.32947599999999999</v>
      </c>
      <c r="AY459">
        <v>3.0792440844846798</v>
      </c>
      <c r="AZ459" s="1">
        <v>0.12100000679493</v>
      </c>
      <c r="BA459" s="1">
        <v>0.30099999904632602</v>
      </c>
      <c r="BB459" s="1">
        <v>0.42199999094009399</v>
      </c>
      <c r="BC459" s="1">
        <v>3.8155633999999998</v>
      </c>
      <c r="BD459" s="2">
        <v>42.141268017362002</v>
      </c>
      <c r="BE459" s="2">
        <f t="shared" si="14"/>
        <v>5.7159535356190005</v>
      </c>
      <c r="BF459" s="2">
        <f t="shared" si="15"/>
        <v>11.943763867049981</v>
      </c>
      <c r="BG459">
        <v>0</v>
      </c>
      <c r="BH459" s="3">
        <v>0</v>
      </c>
      <c r="BI459">
        <v>0</v>
      </c>
      <c r="BJ459" s="3">
        <v>0</v>
      </c>
      <c r="BK459">
        <v>0</v>
      </c>
      <c r="BL459">
        <v>0</v>
      </c>
      <c r="BM459" s="3">
        <v>3479</v>
      </c>
      <c r="BN459">
        <v>701</v>
      </c>
      <c r="BO459">
        <v>16.770334928229666</v>
      </c>
      <c r="BS459">
        <v>1.787455</v>
      </c>
      <c r="BT459">
        <v>9.5049309999999991</v>
      </c>
      <c r="BU459">
        <v>1.7470759647305001</v>
      </c>
    </row>
    <row r="460" spans="1:73" x14ac:dyDescent="0.2">
      <c r="A460">
        <v>458</v>
      </c>
      <c r="B460" t="s">
        <v>98</v>
      </c>
      <c r="C460">
        <v>2002</v>
      </c>
      <c r="D460">
        <v>18</v>
      </c>
      <c r="E460">
        <v>0</v>
      </c>
      <c r="F460" t="s">
        <v>99</v>
      </c>
      <c r="G460">
        <v>0.78105000000000002</v>
      </c>
      <c r="H460">
        <v>0</v>
      </c>
      <c r="I460">
        <v>0.89800000000000002</v>
      </c>
      <c r="J460">
        <v>0.83299999999999996</v>
      </c>
      <c r="K460">
        <v>2.1059999999999999</v>
      </c>
      <c r="L460">
        <v>2.028</v>
      </c>
      <c r="M460">
        <v>0.78200000000000003</v>
      </c>
      <c r="N460">
        <v>0.77200000000000002</v>
      </c>
      <c r="O460">
        <v>1.048</v>
      </c>
      <c r="P460">
        <v>6.1760000000000002</v>
      </c>
      <c r="Q460">
        <v>0</v>
      </c>
      <c r="R460">
        <v>12856.1</v>
      </c>
      <c r="S460">
        <v>-10.504</v>
      </c>
      <c r="U460">
        <v>16.170000000000002</v>
      </c>
      <c r="V460">
        <v>49</v>
      </c>
      <c r="W460" t="s">
        <v>64</v>
      </c>
      <c r="X460" t="s">
        <v>65</v>
      </c>
      <c r="Y460" t="s">
        <v>56</v>
      </c>
      <c r="Z460">
        <v>0.26200000000000001</v>
      </c>
      <c r="AA460">
        <v>0.50700000000000001</v>
      </c>
      <c r="AB460">
        <v>165</v>
      </c>
      <c r="AC460">
        <v>6.9</v>
      </c>
      <c r="AE460">
        <v>-69.837100000000007</v>
      </c>
      <c r="AF460">
        <v>9.0816499999999998</v>
      </c>
      <c r="AG460" t="s">
        <v>57</v>
      </c>
      <c r="AH460" t="s">
        <v>58</v>
      </c>
      <c r="AJ460">
        <v>-8.8556469999999994</v>
      </c>
      <c r="AL460">
        <v>10.12717</v>
      </c>
      <c r="AN460">
        <v>8.1803270000000001</v>
      </c>
      <c r="AO460">
        <v>60.635640000000002</v>
      </c>
      <c r="AP460">
        <v>48.575710000000001</v>
      </c>
      <c r="AQ460">
        <v>0.81921690000000003</v>
      </c>
      <c r="AR460">
        <v>13.007350000000001</v>
      </c>
      <c r="AS460">
        <v>12.249879999999999</v>
      </c>
      <c r="AU460">
        <v>1.0983039999999999</v>
      </c>
      <c r="AY460">
        <v>3.4556137843417498</v>
      </c>
      <c r="AZ460" s="1">
        <v>0.12100000679493</v>
      </c>
      <c r="BA460" s="1">
        <v>0.30099999904632602</v>
      </c>
      <c r="BB460" s="1">
        <v>0.42199999094009399</v>
      </c>
      <c r="BC460" s="1">
        <v>3.8155633999999998</v>
      </c>
      <c r="BD460" s="2">
        <v>48.575710649407</v>
      </c>
      <c r="BE460" s="2">
        <f t="shared" si="14"/>
        <v>6.4344426320449983</v>
      </c>
      <c r="BF460" s="2">
        <f t="shared" si="15"/>
        <v>15.268744712176289</v>
      </c>
      <c r="BG460">
        <v>0</v>
      </c>
      <c r="BH460" s="3">
        <v>0</v>
      </c>
      <c r="BI460">
        <v>0</v>
      </c>
      <c r="BJ460" s="3">
        <v>0</v>
      </c>
      <c r="BK460">
        <v>0</v>
      </c>
      <c r="BL460">
        <v>0</v>
      </c>
      <c r="BM460" s="3">
        <v>-244</v>
      </c>
      <c r="BN460">
        <v>3723</v>
      </c>
      <c r="BO460">
        <v>107.0135096292038</v>
      </c>
      <c r="BS460">
        <v>1.229884</v>
      </c>
      <c r="BT460">
        <v>0.25750430000000002</v>
      </c>
      <c r="BU460">
        <v>1.48957162799029</v>
      </c>
    </row>
    <row r="461" spans="1:73" x14ac:dyDescent="0.2">
      <c r="A461">
        <v>459</v>
      </c>
      <c r="B461" t="s">
        <v>98</v>
      </c>
      <c r="C461">
        <v>2003</v>
      </c>
      <c r="D461">
        <v>18</v>
      </c>
      <c r="E461">
        <v>0</v>
      </c>
      <c r="F461" t="s">
        <v>99</v>
      </c>
      <c r="G461">
        <v>0.78105000000000002</v>
      </c>
      <c r="H461">
        <v>0</v>
      </c>
      <c r="I461">
        <v>0.89800000000000002</v>
      </c>
      <c r="J461">
        <v>0.83299999999999996</v>
      </c>
      <c r="K461">
        <v>2.1059999999999999</v>
      </c>
      <c r="L461">
        <v>2.028</v>
      </c>
      <c r="M461">
        <v>0.78200000000000003</v>
      </c>
      <c r="N461">
        <v>0.77200000000000002</v>
      </c>
      <c r="O461">
        <v>1.161</v>
      </c>
      <c r="P461">
        <v>5.859</v>
      </c>
      <c r="Q461">
        <v>0</v>
      </c>
      <c r="R461">
        <v>11728.2</v>
      </c>
      <c r="S461">
        <v>-9.3840000000000003</v>
      </c>
      <c r="U461">
        <v>16.78</v>
      </c>
      <c r="V461">
        <v>48.1</v>
      </c>
      <c r="W461" t="s">
        <v>64</v>
      </c>
      <c r="X461" t="s">
        <v>65</v>
      </c>
      <c r="Y461" t="s">
        <v>56</v>
      </c>
      <c r="Z461">
        <v>0.248</v>
      </c>
      <c r="AA461">
        <v>0.49399999999999999</v>
      </c>
      <c r="AB461">
        <v>165</v>
      </c>
      <c r="AC461">
        <v>6.9</v>
      </c>
      <c r="AE461">
        <v>-69.837100000000007</v>
      </c>
      <c r="AF461">
        <v>9.0816499999999998</v>
      </c>
      <c r="AG461" t="s">
        <v>57</v>
      </c>
      <c r="AH461" t="s">
        <v>58</v>
      </c>
      <c r="AJ461">
        <v>-7.7553000000000001</v>
      </c>
      <c r="AL461">
        <v>8.9061260000000004</v>
      </c>
      <c r="AN461">
        <v>14.10657</v>
      </c>
      <c r="AO461">
        <v>59.657249999999998</v>
      </c>
      <c r="AP461">
        <v>50.577010000000001</v>
      </c>
      <c r="AQ461">
        <v>1.8811150000000001</v>
      </c>
      <c r="AR461">
        <v>12.87078</v>
      </c>
      <c r="AS461">
        <v>1.100347</v>
      </c>
      <c r="AU461">
        <v>1.3479209999999999</v>
      </c>
      <c r="AY461">
        <v>3.5453390503414299</v>
      </c>
      <c r="AZ461" s="1">
        <v>0.12100000679493</v>
      </c>
      <c r="BA461" s="1">
        <v>0.30099999904632602</v>
      </c>
      <c r="BB461" s="1">
        <v>0.42199999094009399</v>
      </c>
      <c r="BC461" s="1">
        <v>3.8155633999999998</v>
      </c>
      <c r="BD461" s="2">
        <v>50.577007378193997</v>
      </c>
      <c r="BE461" s="2">
        <f t="shared" si="14"/>
        <v>2.0012967287869969</v>
      </c>
      <c r="BF461" s="2">
        <f t="shared" si="15"/>
        <v>4.1199535776867284</v>
      </c>
      <c r="BG461">
        <v>0</v>
      </c>
      <c r="BH461" s="3">
        <v>0</v>
      </c>
      <c r="BI461">
        <v>0</v>
      </c>
      <c r="BJ461" s="3">
        <v>0</v>
      </c>
      <c r="BK461">
        <v>0</v>
      </c>
      <c r="BL461">
        <v>0</v>
      </c>
      <c r="BM461" s="3">
        <v>722</v>
      </c>
      <c r="BN461">
        <v>966</v>
      </c>
      <c r="BO461">
        <v>-395.90163934426232</v>
      </c>
      <c r="BS461">
        <v>0.13657759999999999</v>
      </c>
      <c r="BT461">
        <v>11.993550000000001</v>
      </c>
      <c r="BU461">
        <v>-10.5039753207461</v>
      </c>
    </row>
    <row r="462" spans="1:73" x14ac:dyDescent="0.2">
      <c r="A462">
        <v>460</v>
      </c>
      <c r="B462" t="s">
        <v>98</v>
      </c>
      <c r="C462">
        <v>2004</v>
      </c>
      <c r="D462">
        <v>18</v>
      </c>
      <c r="E462">
        <v>0</v>
      </c>
      <c r="F462" t="s">
        <v>99</v>
      </c>
      <c r="G462">
        <v>0.78105000000000002</v>
      </c>
      <c r="H462">
        <v>0</v>
      </c>
      <c r="I462">
        <v>0.89800000000000002</v>
      </c>
      <c r="J462">
        <v>0.83299999999999996</v>
      </c>
      <c r="K462">
        <v>2.1059999999999999</v>
      </c>
      <c r="L462">
        <v>2.028</v>
      </c>
      <c r="M462">
        <v>0.78200000000000003</v>
      </c>
      <c r="N462">
        <v>0.77200000000000002</v>
      </c>
      <c r="O462">
        <v>1.161</v>
      </c>
      <c r="P462">
        <v>5.1159999999999997</v>
      </c>
      <c r="Q462">
        <v>0</v>
      </c>
      <c r="R462">
        <v>13713.1</v>
      </c>
      <c r="S462">
        <v>16.262</v>
      </c>
      <c r="U462">
        <v>15.07</v>
      </c>
      <c r="V462">
        <v>47.5</v>
      </c>
      <c r="W462" t="s">
        <v>64</v>
      </c>
      <c r="X462" t="s">
        <v>65</v>
      </c>
      <c r="Y462" t="s">
        <v>56</v>
      </c>
      <c r="Z462">
        <v>0.223</v>
      </c>
      <c r="AA462">
        <v>0.48599999999999999</v>
      </c>
      <c r="AB462">
        <v>165</v>
      </c>
      <c r="AC462">
        <v>6.9</v>
      </c>
      <c r="AE462">
        <v>-69.837100000000007</v>
      </c>
      <c r="AF462">
        <v>9.0816499999999998</v>
      </c>
      <c r="AG462" t="s">
        <v>57</v>
      </c>
      <c r="AH462" t="s">
        <v>58</v>
      </c>
      <c r="AJ462">
        <v>18.28661</v>
      </c>
      <c r="AL462">
        <v>11.081770000000001</v>
      </c>
      <c r="AN462">
        <v>13.80039</v>
      </c>
      <c r="AO462">
        <v>58.722020000000001</v>
      </c>
      <c r="AP462">
        <v>55.367449999999998</v>
      </c>
      <c r="AQ462">
        <v>1.3241039999999999</v>
      </c>
      <c r="AR462">
        <v>11.955920000000001</v>
      </c>
      <c r="AS462">
        <v>26.041910000000001</v>
      </c>
      <c r="AU462">
        <v>1.3479209999999999</v>
      </c>
      <c r="AY462">
        <v>3.5453390503414299</v>
      </c>
      <c r="AZ462" s="1">
        <v>0.12100000679493</v>
      </c>
      <c r="BA462" s="1">
        <v>0.30099999904632602</v>
      </c>
      <c r="BB462" s="1">
        <v>0.42199999094009399</v>
      </c>
      <c r="BC462" s="1">
        <v>3.8155633999999998</v>
      </c>
      <c r="BD462" s="2">
        <v>55.367455602322003</v>
      </c>
      <c r="BE462" s="2">
        <f t="shared" si="14"/>
        <v>4.7904482241280064</v>
      </c>
      <c r="BF462" s="2">
        <f t="shared" si="15"/>
        <v>9.4715928688840965</v>
      </c>
      <c r="BG462">
        <v>0</v>
      </c>
      <c r="BH462" s="3">
        <v>0</v>
      </c>
      <c r="BI462">
        <v>0</v>
      </c>
      <c r="BJ462" s="3">
        <v>0</v>
      </c>
      <c r="BK462">
        <v>0</v>
      </c>
      <c r="BL462">
        <v>0</v>
      </c>
      <c r="BM462" s="3">
        <v>864</v>
      </c>
      <c r="BN462">
        <v>142</v>
      </c>
      <c r="BO462">
        <v>19.667590027700832</v>
      </c>
      <c r="BS462">
        <v>0.91486069999999997</v>
      </c>
      <c r="BT462">
        <v>1.1197220000000001</v>
      </c>
      <c r="BU462">
        <v>-9.3842523532770592</v>
      </c>
    </row>
    <row r="463" spans="1:73" x14ac:dyDescent="0.2">
      <c r="A463">
        <v>461</v>
      </c>
      <c r="B463" t="s">
        <v>98</v>
      </c>
      <c r="C463">
        <v>2005</v>
      </c>
      <c r="D463">
        <v>18</v>
      </c>
      <c r="E463">
        <v>0</v>
      </c>
      <c r="F463" t="s">
        <v>99</v>
      </c>
      <c r="G463">
        <v>0.78105000000000002</v>
      </c>
      <c r="H463">
        <v>0</v>
      </c>
      <c r="I463">
        <v>0.89800000000000002</v>
      </c>
      <c r="J463">
        <v>0.83299999999999996</v>
      </c>
      <c r="K463">
        <v>2.1059999999999999</v>
      </c>
      <c r="L463">
        <v>2.028</v>
      </c>
      <c r="M463">
        <v>0.78200000000000003</v>
      </c>
      <c r="N463">
        <v>0.77200000000000002</v>
      </c>
      <c r="O463">
        <v>1.2310000000000001</v>
      </c>
      <c r="P463">
        <v>5.7329999999999997</v>
      </c>
      <c r="Q463">
        <v>1</v>
      </c>
      <c r="R463">
        <v>14944.3</v>
      </c>
      <c r="S463">
        <v>8.4990000000000006</v>
      </c>
      <c r="U463">
        <v>10.66</v>
      </c>
      <c r="V463">
        <v>49.5</v>
      </c>
      <c r="W463" t="s">
        <v>64</v>
      </c>
      <c r="X463" t="s">
        <v>65</v>
      </c>
      <c r="Y463" t="s">
        <v>56</v>
      </c>
      <c r="Z463">
        <v>0.186</v>
      </c>
      <c r="AA463">
        <v>0.48399999999999999</v>
      </c>
      <c r="AB463">
        <v>167</v>
      </c>
      <c r="AC463">
        <v>6.9</v>
      </c>
      <c r="AE463">
        <v>-69.837100000000007</v>
      </c>
      <c r="AF463">
        <v>9.0816499999999998</v>
      </c>
      <c r="AG463" t="s">
        <v>57</v>
      </c>
      <c r="AH463" t="s">
        <v>58</v>
      </c>
      <c r="AJ463">
        <v>10.317909999999999</v>
      </c>
      <c r="AL463">
        <v>13.214869999999999</v>
      </c>
      <c r="AN463">
        <v>17.488140000000001</v>
      </c>
      <c r="AO463">
        <v>57.864930000000001</v>
      </c>
      <c r="AP463">
        <v>60.127330000000001</v>
      </c>
      <c r="AQ463">
        <v>1.6837329999999999</v>
      </c>
      <c r="AR463">
        <v>11.055899999999999</v>
      </c>
      <c r="AS463">
        <v>7.9686919999999999</v>
      </c>
      <c r="AU463">
        <v>1.515361</v>
      </c>
      <c r="AY463">
        <v>3.60092107352708</v>
      </c>
      <c r="AZ463" s="1">
        <v>0.27149999141693099</v>
      </c>
      <c r="BA463" s="1">
        <v>0.27199998497963002</v>
      </c>
      <c r="BB463" s="1">
        <v>0.54349994659423795</v>
      </c>
      <c r="BC463" s="1">
        <v>3.8155633999999998</v>
      </c>
      <c r="BD463" s="2">
        <v>60.127329756141997</v>
      </c>
      <c r="BE463" s="2">
        <f t="shared" si="14"/>
        <v>4.7598741538199931</v>
      </c>
      <c r="BF463" s="2">
        <f t="shared" si="15"/>
        <v>8.5968807886132534</v>
      </c>
      <c r="BG463">
        <v>1</v>
      </c>
      <c r="BH463" s="3">
        <v>1</v>
      </c>
      <c r="BI463">
        <v>0</v>
      </c>
      <c r="BJ463" s="3">
        <v>0</v>
      </c>
      <c r="BK463">
        <v>0</v>
      </c>
      <c r="BL463">
        <v>0</v>
      </c>
      <c r="BM463" s="3">
        <v>1422</v>
      </c>
      <c r="BN463">
        <v>558</v>
      </c>
      <c r="BO463">
        <v>64.583333333333329</v>
      </c>
      <c r="BS463">
        <v>0.90001200000000003</v>
      </c>
      <c r="BT463">
        <v>25.64621</v>
      </c>
      <c r="BU463">
        <v>16.2619571762514</v>
      </c>
    </row>
    <row r="464" spans="1:73" x14ac:dyDescent="0.2">
      <c r="A464">
        <v>462</v>
      </c>
      <c r="B464" t="s">
        <v>98</v>
      </c>
      <c r="C464">
        <v>2006</v>
      </c>
      <c r="D464">
        <v>18</v>
      </c>
      <c r="E464">
        <v>0</v>
      </c>
      <c r="F464" t="s">
        <v>99</v>
      </c>
      <c r="G464">
        <v>0.78105000000000002</v>
      </c>
      <c r="H464">
        <v>0</v>
      </c>
      <c r="O464">
        <v>1.2310000000000001</v>
      </c>
      <c r="P464">
        <v>5.6680000000000001</v>
      </c>
      <c r="Q464">
        <v>0</v>
      </c>
      <c r="R464">
        <v>16253.7</v>
      </c>
      <c r="S464">
        <v>8.1630000000000003</v>
      </c>
      <c r="U464">
        <v>8.61</v>
      </c>
      <c r="V464">
        <v>44.8</v>
      </c>
      <c r="W464" t="s">
        <v>64</v>
      </c>
      <c r="X464" t="s">
        <v>65</v>
      </c>
      <c r="Y464" t="s">
        <v>56</v>
      </c>
      <c r="Z464">
        <v>0.16800000000000001</v>
      </c>
      <c r="AA464">
        <v>0.45600000000000002</v>
      </c>
      <c r="AB464">
        <v>167</v>
      </c>
      <c r="AC464">
        <v>6.9</v>
      </c>
      <c r="AE464">
        <v>-69.837100000000007</v>
      </c>
      <c r="AF464">
        <v>9.0816499999999998</v>
      </c>
      <c r="AG464" t="s">
        <v>57</v>
      </c>
      <c r="AH464" t="s">
        <v>58</v>
      </c>
      <c r="AJ464">
        <v>9.8721490000000003</v>
      </c>
      <c r="AL464">
        <v>17.037130000000001</v>
      </c>
      <c r="AN464">
        <v>14.422470000000001</v>
      </c>
      <c r="AO464">
        <v>57.178179999999998</v>
      </c>
      <c r="AP464">
        <v>58.665590000000002</v>
      </c>
      <c r="AQ464">
        <v>0.1079151</v>
      </c>
      <c r="AR464">
        <v>11.71068</v>
      </c>
      <c r="AS464">
        <v>0.44576450000000001</v>
      </c>
      <c r="AU464">
        <v>1.515361</v>
      </c>
      <c r="AY464">
        <v>3.60092107352708</v>
      </c>
      <c r="AZ464" s="1">
        <v>0.27149999141693099</v>
      </c>
      <c r="BA464" s="1">
        <v>0.27199998497963002</v>
      </c>
      <c r="BB464" s="1">
        <v>0.54349994659423795</v>
      </c>
      <c r="BC464" s="1">
        <v>2.0520198000000001</v>
      </c>
      <c r="BD464" s="2">
        <v>58.665591558460001</v>
      </c>
      <c r="BE464" s="2">
        <f t="shared" si="14"/>
        <v>1.4617381976819956</v>
      </c>
      <c r="BF464" s="2">
        <f t="shared" si="15"/>
        <v>2.4310712010833631</v>
      </c>
      <c r="BG464">
        <v>1</v>
      </c>
      <c r="BH464" s="3">
        <v>0</v>
      </c>
      <c r="BI464">
        <v>0</v>
      </c>
      <c r="BJ464" s="3">
        <v>1</v>
      </c>
      <c r="BK464">
        <v>0</v>
      </c>
      <c r="BL464">
        <v>0</v>
      </c>
      <c r="BM464" s="3">
        <v>-2032</v>
      </c>
      <c r="BN464">
        <v>3454</v>
      </c>
      <c r="BO464">
        <v>242.89732770745428</v>
      </c>
      <c r="BS464">
        <v>0.65477370000000001</v>
      </c>
      <c r="BT464">
        <v>7.7631030000000001</v>
      </c>
      <c r="BU464">
        <v>8.4988549526072301</v>
      </c>
    </row>
    <row r="465" spans="1:73" x14ac:dyDescent="0.2">
      <c r="A465">
        <v>463</v>
      </c>
      <c r="B465" t="s">
        <v>98</v>
      </c>
      <c r="C465">
        <v>2007</v>
      </c>
      <c r="D465">
        <v>18</v>
      </c>
      <c r="E465">
        <v>0</v>
      </c>
      <c r="F465" t="s">
        <v>99</v>
      </c>
      <c r="G465">
        <v>0.78105000000000002</v>
      </c>
      <c r="H465">
        <v>0</v>
      </c>
      <c r="O465">
        <v>1.93</v>
      </c>
      <c r="P465">
        <v>5.0810000000000004</v>
      </c>
      <c r="Q465">
        <v>0</v>
      </c>
      <c r="R465">
        <v>17386.099999999999</v>
      </c>
      <c r="S465">
        <v>7.1669999999999998</v>
      </c>
      <c r="U465">
        <v>7.28</v>
      </c>
      <c r="W465" t="s">
        <v>64</v>
      </c>
      <c r="X465" t="s">
        <v>65</v>
      </c>
      <c r="Y465" t="s">
        <v>56</v>
      </c>
      <c r="Z465">
        <v>0.16200000000000001</v>
      </c>
      <c r="AA465">
        <v>0.439</v>
      </c>
      <c r="AB465">
        <v>167</v>
      </c>
      <c r="AC465">
        <v>6.8</v>
      </c>
      <c r="AE465">
        <v>-69.837100000000007</v>
      </c>
      <c r="AF465">
        <v>9.0816499999999998</v>
      </c>
      <c r="AG465" t="s">
        <v>57</v>
      </c>
      <c r="AH465" t="s">
        <v>58</v>
      </c>
      <c r="AJ465">
        <v>8.7535790000000002</v>
      </c>
      <c r="AL465">
        <v>23.481169999999999</v>
      </c>
      <c r="AN465">
        <v>5.8446629999999997</v>
      </c>
      <c r="AO465">
        <v>56.533990000000003</v>
      </c>
      <c r="AP465">
        <v>56.199100000000001</v>
      </c>
      <c r="AQ465">
        <v>1.8917889999999999</v>
      </c>
      <c r="AR465">
        <v>12.471069999999999</v>
      </c>
      <c r="AS465">
        <v>1.1185700000000001</v>
      </c>
      <c r="AU465">
        <v>3.7248999999999999</v>
      </c>
      <c r="AY465">
        <v>4.1559472764808598</v>
      </c>
      <c r="AZ465" s="1">
        <v>0.27149999141693099</v>
      </c>
      <c r="BA465" s="1">
        <v>0.27199998497963002</v>
      </c>
      <c r="BB465" s="1">
        <v>0.54349994659423795</v>
      </c>
      <c r="BC465" s="1">
        <v>2.0520198000000001</v>
      </c>
      <c r="BD465" s="2">
        <v>56.199095481891</v>
      </c>
      <c r="BE465" s="2">
        <f t="shared" si="14"/>
        <v>2.4664960765690012</v>
      </c>
      <c r="BF465" s="2">
        <f t="shared" si="15"/>
        <v>4.2043317233256721</v>
      </c>
      <c r="BG465">
        <v>2</v>
      </c>
      <c r="BH465" s="3">
        <v>1</v>
      </c>
      <c r="BI465">
        <v>100</v>
      </c>
      <c r="BJ465" s="3">
        <v>1</v>
      </c>
      <c r="BK465">
        <v>0</v>
      </c>
      <c r="BL465">
        <v>0</v>
      </c>
      <c r="BM465" s="3">
        <v>3783</v>
      </c>
      <c r="BN465">
        <v>5815</v>
      </c>
      <c r="BO465">
        <v>-286.1712598425197</v>
      </c>
      <c r="BS465">
        <v>0.76039120000000004</v>
      </c>
      <c r="BT465">
        <v>0.33613589999999999</v>
      </c>
      <c r="BU465">
        <v>8.1627183398888103</v>
      </c>
    </row>
    <row r="466" spans="1:73" x14ac:dyDescent="0.2">
      <c r="A466">
        <v>464</v>
      </c>
      <c r="B466" t="s">
        <v>98</v>
      </c>
      <c r="C466">
        <v>2008</v>
      </c>
      <c r="D466">
        <v>18</v>
      </c>
      <c r="E466">
        <v>0</v>
      </c>
      <c r="F466" t="s">
        <v>99</v>
      </c>
      <c r="G466">
        <v>0.78105000000000002</v>
      </c>
      <c r="H466">
        <v>0</v>
      </c>
      <c r="O466">
        <v>1.93</v>
      </c>
      <c r="P466">
        <v>5.4130000000000003</v>
      </c>
      <c r="Q466">
        <v>0</v>
      </c>
      <c r="R466">
        <v>18019.099999999999</v>
      </c>
      <c r="S466">
        <v>3.7989999999999999</v>
      </c>
      <c r="U466">
        <v>6.25</v>
      </c>
      <c r="W466" t="s">
        <v>64</v>
      </c>
      <c r="X466" t="s">
        <v>65</v>
      </c>
      <c r="Y466" t="s">
        <v>56</v>
      </c>
      <c r="Z466">
        <v>0.161</v>
      </c>
      <c r="AA466">
        <v>0.436</v>
      </c>
      <c r="AB466">
        <v>167</v>
      </c>
      <c r="AC466">
        <v>6.8</v>
      </c>
      <c r="AE466">
        <v>-69.837100000000007</v>
      </c>
      <c r="AF466">
        <v>9.0816499999999998</v>
      </c>
      <c r="AG466" t="s">
        <v>57</v>
      </c>
      <c r="AH466" t="s">
        <v>58</v>
      </c>
      <c r="AJ466">
        <v>5.2778539999999996</v>
      </c>
      <c r="AL466">
        <v>21.469670000000001</v>
      </c>
      <c r="AN466">
        <v>9.9055750000000007</v>
      </c>
      <c r="AO466">
        <v>55.946440000000003</v>
      </c>
      <c r="AP466">
        <v>51.829009999999997</v>
      </c>
      <c r="AQ466">
        <v>0.65927449999999999</v>
      </c>
      <c r="AR466">
        <v>11.858000000000001</v>
      </c>
      <c r="AS466">
        <v>3.4757250000000002</v>
      </c>
      <c r="AU466">
        <v>3.7248999999999999</v>
      </c>
      <c r="AY466">
        <v>4.1559472764808598</v>
      </c>
      <c r="AZ466" s="1">
        <v>0.27149999141693099</v>
      </c>
      <c r="BA466" s="1">
        <v>0.27199998497963002</v>
      </c>
      <c r="BB466" s="1">
        <v>0.54349994659423795</v>
      </c>
      <c r="BC466" s="1">
        <v>2.0520198000000001</v>
      </c>
      <c r="BD466" s="2">
        <v>51.829012378992999</v>
      </c>
      <c r="BE466" s="2">
        <f t="shared" si="14"/>
        <v>4.3700831028980005</v>
      </c>
      <c r="BF466" s="2">
        <f t="shared" si="15"/>
        <v>7.776073734685232</v>
      </c>
      <c r="BG466">
        <v>2</v>
      </c>
      <c r="BH466" s="3">
        <v>0</v>
      </c>
      <c r="BI466">
        <v>0</v>
      </c>
      <c r="BJ466" s="3">
        <v>2</v>
      </c>
      <c r="BK466">
        <v>1</v>
      </c>
      <c r="BL466">
        <v>100</v>
      </c>
      <c r="BM466" s="3">
        <v>1316</v>
      </c>
      <c r="BN466">
        <v>2467</v>
      </c>
      <c r="BO466">
        <v>65.212794078773456</v>
      </c>
      <c r="BS466">
        <v>0.61306669999999996</v>
      </c>
      <c r="BT466">
        <v>0.99532989999999999</v>
      </c>
      <c r="BU466">
        <v>7.16738894447899</v>
      </c>
    </row>
    <row r="467" spans="1:73" x14ac:dyDescent="0.2">
      <c r="A467">
        <v>465</v>
      </c>
      <c r="B467" t="s">
        <v>98</v>
      </c>
      <c r="C467">
        <v>2009</v>
      </c>
      <c r="D467">
        <v>18</v>
      </c>
      <c r="E467">
        <v>0</v>
      </c>
      <c r="F467" t="s">
        <v>99</v>
      </c>
      <c r="G467">
        <v>0.59923000000000004</v>
      </c>
      <c r="H467">
        <v>0</v>
      </c>
      <c r="O467">
        <v>1.93</v>
      </c>
      <c r="P467">
        <v>5.4630000000000001</v>
      </c>
      <c r="Q467">
        <v>0</v>
      </c>
      <c r="R467">
        <v>17242.900000000001</v>
      </c>
      <c r="S467">
        <v>-4.5670000000000002</v>
      </c>
      <c r="T467">
        <v>27.08</v>
      </c>
      <c r="U467">
        <v>6.1</v>
      </c>
      <c r="W467" t="s">
        <v>64</v>
      </c>
      <c r="X467" t="s">
        <v>65</v>
      </c>
      <c r="Y467" t="s">
        <v>56</v>
      </c>
      <c r="Z467">
        <v>0.16</v>
      </c>
      <c r="AA467">
        <v>0.435</v>
      </c>
      <c r="AB467">
        <v>167</v>
      </c>
      <c r="AC467">
        <v>6.8</v>
      </c>
      <c r="AE467">
        <v>-69.837100000000007</v>
      </c>
      <c r="AF467">
        <v>9.0816499999999998</v>
      </c>
      <c r="AG467" t="s">
        <v>57</v>
      </c>
      <c r="AH467" t="s">
        <v>58</v>
      </c>
      <c r="AJ467">
        <v>-3.2023030000000001</v>
      </c>
      <c r="AL467">
        <v>23.613630000000001</v>
      </c>
      <c r="AN467">
        <v>0.1300837</v>
      </c>
      <c r="AO467">
        <v>55.427720000000001</v>
      </c>
      <c r="AP467">
        <v>38.52093</v>
      </c>
      <c r="AQ467">
        <v>-0.3447673</v>
      </c>
      <c r="AR467">
        <v>13.7003</v>
      </c>
      <c r="AS467">
        <v>8.4801570000000002</v>
      </c>
      <c r="AT467">
        <v>3.2987950000000001</v>
      </c>
      <c r="AU467">
        <v>3.7248999999999999</v>
      </c>
      <c r="AV467">
        <v>3.2987950000000001</v>
      </c>
      <c r="AY467">
        <v>4.1559472764808598</v>
      </c>
      <c r="AZ467" s="1">
        <v>0.27149999141693099</v>
      </c>
      <c r="BA467" s="1">
        <v>0.27199998497963002</v>
      </c>
      <c r="BB467" s="1">
        <v>0.54349994659423795</v>
      </c>
      <c r="BC467" s="1">
        <v>2.0520198000000001</v>
      </c>
      <c r="BD467" s="2">
        <v>38.520929658329997</v>
      </c>
      <c r="BE467" s="2">
        <f t="shared" si="14"/>
        <v>13.308082720663002</v>
      </c>
      <c r="BF467" s="2">
        <f t="shared" si="15"/>
        <v>25.676898149919111</v>
      </c>
      <c r="BG467">
        <v>2</v>
      </c>
      <c r="BH467" s="3">
        <v>0</v>
      </c>
      <c r="BI467">
        <v>0</v>
      </c>
      <c r="BJ467" s="3">
        <v>2</v>
      </c>
      <c r="BK467">
        <v>0</v>
      </c>
      <c r="BL467">
        <v>0</v>
      </c>
      <c r="BM467" s="3">
        <v>-3613</v>
      </c>
      <c r="BN467">
        <v>4929</v>
      </c>
      <c r="BO467">
        <v>374.54407294832828</v>
      </c>
      <c r="BS467">
        <v>1.8422970000000001</v>
      </c>
      <c r="BT467">
        <v>3.3684699999999999</v>
      </c>
      <c r="BU467">
        <v>3.79891882036405</v>
      </c>
    </row>
    <row r="468" spans="1:73" x14ac:dyDescent="0.2">
      <c r="A468">
        <v>466</v>
      </c>
      <c r="B468" t="s">
        <v>98</v>
      </c>
      <c r="C468">
        <v>2010</v>
      </c>
      <c r="D468">
        <v>18</v>
      </c>
      <c r="E468">
        <v>0</v>
      </c>
      <c r="F468" t="s">
        <v>99</v>
      </c>
      <c r="G468">
        <v>0.59923000000000004</v>
      </c>
      <c r="H468">
        <v>0</v>
      </c>
      <c r="O468">
        <v>1.93</v>
      </c>
      <c r="P468">
        <v>5.6790000000000003</v>
      </c>
      <c r="Q468">
        <v>1</v>
      </c>
      <c r="R468">
        <v>17105.599999999999</v>
      </c>
      <c r="S468">
        <v>-2.9049999999999998</v>
      </c>
      <c r="T468">
        <v>28.19</v>
      </c>
      <c r="U468">
        <v>7.11</v>
      </c>
      <c r="W468" t="s">
        <v>64</v>
      </c>
      <c r="X468" t="s">
        <v>86</v>
      </c>
      <c r="Y468" t="s">
        <v>56</v>
      </c>
      <c r="Z468">
        <v>0.159</v>
      </c>
      <c r="AA468">
        <v>0.43</v>
      </c>
      <c r="AB468">
        <v>165</v>
      </c>
      <c r="AC468">
        <v>6.8</v>
      </c>
      <c r="AE468">
        <v>-69.837100000000007</v>
      </c>
      <c r="AF468">
        <v>9.0816499999999998</v>
      </c>
      <c r="AG468" t="s">
        <v>57</v>
      </c>
      <c r="AH468" t="s">
        <v>58</v>
      </c>
      <c r="AJ468">
        <v>-1.488791</v>
      </c>
      <c r="AL468">
        <v>18.854340000000001</v>
      </c>
      <c r="AN468">
        <v>1.4204239999999999</v>
      </c>
      <c r="AO468">
        <v>54.979480000000002</v>
      </c>
      <c r="AP468">
        <v>46.136890000000001</v>
      </c>
      <c r="AQ468">
        <v>0.40260190000000001</v>
      </c>
      <c r="AR468">
        <v>11.209540000000001</v>
      </c>
      <c r="AS468">
        <v>1.713511</v>
      </c>
      <c r="AT468">
        <v>3.3389669999999998</v>
      </c>
      <c r="AU468">
        <v>3.7248999999999999</v>
      </c>
      <c r="AV468">
        <v>3.3389669999999998</v>
      </c>
      <c r="AX468">
        <v>1.110001</v>
      </c>
      <c r="AY468">
        <v>4.1559472764808598</v>
      </c>
      <c r="AZ468" s="1">
        <v>0.84749996662139904</v>
      </c>
      <c r="BA468" s="1">
        <v>9.3000002205371898E-2</v>
      </c>
      <c r="BB468" s="1">
        <v>0.94049996137618996</v>
      </c>
      <c r="BC468" s="1">
        <v>2.0520198000000001</v>
      </c>
      <c r="BD468" s="2">
        <v>46.136893524020003</v>
      </c>
      <c r="BE468" s="2">
        <f t="shared" si="14"/>
        <v>7.6159638656900057</v>
      </c>
      <c r="BF468" s="2">
        <f t="shared" si="15"/>
        <v>19.770976280275423</v>
      </c>
      <c r="BG468">
        <v>3</v>
      </c>
      <c r="BH468" s="3">
        <v>1</v>
      </c>
      <c r="BI468">
        <v>50</v>
      </c>
      <c r="BJ468" s="3">
        <v>3</v>
      </c>
      <c r="BK468">
        <v>1</v>
      </c>
      <c r="BL468">
        <v>50</v>
      </c>
      <c r="BM468" s="3">
        <v>-918</v>
      </c>
      <c r="BN468">
        <v>2695</v>
      </c>
      <c r="BO468">
        <v>-74.591752006642679</v>
      </c>
      <c r="BS468">
        <v>2.490761</v>
      </c>
      <c r="BT468">
        <v>8.3658809999999999</v>
      </c>
      <c r="BU468">
        <v>-4.5669628830368501</v>
      </c>
    </row>
    <row r="469" spans="1:73" x14ac:dyDescent="0.2">
      <c r="A469">
        <v>467</v>
      </c>
      <c r="B469" t="s">
        <v>98</v>
      </c>
      <c r="C469">
        <v>2011</v>
      </c>
      <c r="D469">
        <v>18</v>
      </c>
      <c r="E469">
        <v>0</v>
      </c>
      <c r="F469" t="s">
        <v>99</v>
      </c>
      <c r="G469">
        <v>0.59923000000000004</v>
      </c>
      <c r="H469">
        <v>0</v>
      </c>
      <c r="O469">
        <v>1.93</v>
      </c>
      <c r="P469">
        <v>6.7329999999999997</v>
      </c>
      <c r="Q469">
        <v>0</v>
      </c>
      <c r="R469">
        <v>17746</v>
      </c>
      <c r="S469">
        <v>2.5590000000000002</v>
      </c>
      <c r="T469">
        <v>26.09</v>
      </c>
      <c r="U469">
        <v>6.9</v>
      </c>
      <c r="W469" t="s">
        <v>64</v>
      </c>
      <c r="X469" t="s">
        <v>86</v>
      </c>
      <c r="Y469" t="s">
        <v>56</v>
      </c>
      <c r="Z469">
        <v>0.157</v>
      </c>
      <c r="AA469">
        <v>0.42099999999999999</v>
      </c>
      <c r="AB469">
        <v>165</v>
      </c>
      <c r="AC469">
        <v>6.8</v>
      </c>
      <c r="AE469">
        <v>-69.837100000000007</v>
      </c>
      <c r="AF469">
        <v>9.0816499999999998</v>
      </c>
      <c r="AG469" t="s">
        <v>57</v>
      </c>
      <c r="AH469" t="s">
        <v>58</v>
      </c>
      <c r="AJ469">
        <v>4.1764250000000001</v>
      </c>
      <c r="AL469">
        <v>20.474229999999999</v>
      </c>
      <c r="AN469">
        <v>5.16364</v>
      </c>
      <c r="AO469">
        <v>54.57808</v>
      </c>
      <c r="AP469">
        <v>49.638120000000001</v>
      </c>
      <c r="AQ469">
        <v>1.850025</v>
      </c>
      <c r="AR469">
        <v>11.51779</v>
      </c>
      <c r="AS469">
        <v>5.665216</v>
      </c>
      <c r="AT469">
        <v>3.261552</v>
      </c>
      <c r="AU469">
        <v>3.7248999999999999</v>
      </c>
      <c r="AV469">
        <v>3.261552</v>
      </c>
      <c r="AX469">
        <v>2.1</v>
      </c>
      <c r="AY469">
        <v>4.1559472764808598</v>
      </c>
      <c r="AZ469" s="1">
        <v>0.84749996662139904</v>
      </c>
      <c r="BA469" s="1">
        <v>9.3000002205371898E-2</v>
      </c>
      <c r="BB469" s="1">
        <v>0.94049996137618996</v>
      </c>
      <c r="BC469" s="1">
        <v>3.0039720000000001</v>
      </c>
      <c r="BD469" s="2">
        <v>49.638121596799998</v>
      </c>
      <c r="BE469" s="2">
        <f t="shared" si="14"/>
        <v>3.5012280727799947</v>
      </c>
      <c r="BF469" s="2">
        <f t="shared" si="15"/>
        <v>7.5887815701271029</v>
      </c>
      <c r="BG469">
        <v>4</v>
      </c>
      <c r="BH469" s="3">
        <v>1</v>
      </c>
      <c r="BI469">
        <v>33.333333333333336</v>
      </c>
      <c r="BJ469" s="3">
        <v>4</v>
      </c>
      <c r="BK469">
        <v>1</v>
      </c>
      <c r="BL469">
        <v>33.333333333333336</v>
      </c>
      <c r="BM469" s="3">
        <v>6110</v>
      </c>
      <c r="BN469">
        <v>7028</v>
      </c>
      <c r="BO469">
        <v>-765.5773420479303</v>
      </c>
      <c r="BS469">
        <v>0.30825609999999998</v>
      </c>
      <c r="BT469">
        <v>1.661699</v>
      </c>
      <c r="BU469">
        <v>-2.9052633946519402</v>
      </c>
    </row>
    <row r="470" spans="1:73" x14ac:dyDescent="0.2">
      <c r="A470">
        <v>468</v>
      </c>
      <c r="B470" t="s">
        <v>98</v>
      </c>
      <c r="C470">
        <v>2012</v>
      </c>
      <c r="D470">
        <v>18</v>
      </c>
      <c r="E470">
        <v>0</v>
      </c>
      <c r="F470" t="s">
        <v>99</v>
      </c>
      <c r="G470">
        <v>0.59923000000000004</v>
      </c>
      <c r="H470">
        <v>0</v>
      </c>
      <c r="O470">
        <v>1.93</v>
      </c>
      <c r="P470">
        <v>6.7329999999999997</v>
      </c>
      <c r="Q470">
        <v>0</v>
      </c>
      <c r="R470">
        <v>18549</v>
      </c>
      <c r="S470">
        <v>3.9209999999999998</v>
      </c>
      <c r="T470">
        <v>21.07</v>
      </c>
      <c r="U470">
        <v>6.6</v>
      </c>
      <c r="W470" t="s">
        <v>64</v>
      </c>
      <c r="X470" t="s">
        <v>86</v>
      </c>
      <c r="Y470" t="s">
        <v>56</v>
      </c>
      <c r="Z470">
        <v>0.153</v>
      </c>
      <c r="AA470">
        <v>0.41499999999999998</v>
      </c>
      <c r="AB470">
        <v>165</v>
      </c>
      <c r="AC470">
        <v>6.8</v>
      </c>
      <c r="AE470">
        <v>-69.837100000000007</v>
      </c>
      <c r="AF470">
        <v>9.0816499999999998</v>
      </c>
      <c r="AG470" t="s">
        <v>57</v>
      </c>
      <c r="AH470" t="s">
        <v>58</v>
      </c>
      <c r="AJ470">
        <v>5.6259569999999997</v>
      </c>
      <c r="AL470">
        <v>25.303750000000001</v>
      </c>
      <c r="AN470">
        <v>0.67823060000000002</v>
      </c>
      <c r="AO470">
        <v>54.288760000000003</v>
      </c>
      <c r="AP470">
        <v>50.403570000000002</v>
      </c>
      <c r="AQ470">
        <v>1.307679</v>
      </c>
      <c r="AR470">
        <v>12.19196</v>
      </c>
      <c r="AS470">
        <v>1.449532</v>
      </c>
      <c r="AT470">
        <v>3.0478499999999999</v>
      </c>
      <c r="AU470">
        <v>3.7248999999999999</v>
      </c>
      <c r="AV470">
        <v>3.0478499999999999</v>
      </c>
      <c r="AX470">
        <v>5.0199999999999996</v>
      </c>
      <c r="AY470">
        <v>4.1559472764808598</v>
      </c>
      <c r="AZ470" s="1">
        <v>0.84749996662139904</v>
      </c>
      <c r="BA470" s="1">
        <v>9.3000002205371898E-2</v>
      </c>
      <c r="BB470" s="1">
        <v>0.94049996137618996</v>
      </c>
      <c r="BC470" s="1">
        <v>3.0039720000000001</v>
      </c>
      <c r="BD470" s="2">
        <v>50.403567380364997</v>
      </c>
      <c r="BE470" s="2">
        <f t="shared" si="14"/>
        <v>0.76544578356499926</v>
      </c>
      <c r="BF470" s="2">
        <f t="shared" si="15"/>
        <v>1.5420522754316814</v>
      </c>
      <c r="BG470">
        <v>7</v>
      </c>
      <c r="BH470" s="3">
        <v>3</v>
      </c>
      <c r="BI470">
        <v>75</v>
      </c>
      <c r="BJ470" s="3">
        <v>7</v>
      </c>
      <c r="BK470">
        <v>3</v>
      </c>
      <c r="BL470">
        <v>75</v>
      </c>
      <c r="BM470" s="3">
        <v>1679</v>
      </c>
      <c r="BN470">
        <v>4431</v>
      </c>
      <c r="BO470">
        <v>72.520458265139112</v>
      </c>
      <c r="BS470">
        <v>0.67416379999999998</v>
      </c>
      <c r="BT470">
        <v>5.4663449999999996</v>
      </c>
      <c r="BU470">
        <v>2.56108142624743</v>
      </c>
    </row>
    <row r="471" spans="1:73" x14ac:dyDescent="0.2">
      <c r="A471">
        <v>469</v>
      </c>
      <c r="B471" t="s">
        <v>98</v>
      </c>
      <c r="C471">
        <v>2013</v>
      </c>
      <c r="D471">
        <v>18</v>
      </c>
      <c r="E471">
        <v>0</v>
      </c>
      <c r="F471" t="s">
        <v>99</v>
      </c>
      <c r="G471">
        <v>0.67805000000000004</v>
      </c>
      <c r="H471">
        <v>0</v>
      </c>
      <c r="O471">
        <v>2.1680000000000001</v>
      </c>
      <c r="P471">
        <v>5.5460000000000003</v>
      </c>
      <c r="Q471">
        <v>0</v>
      </c>
      <c r="R471">
        <v>21429</v>
      </c>
      <c r="S471">
        <v>-0.09</v>
      </c>
      <c r="T471">
        <v>40.64</v>
      </c>
      <c r="U471">
        <v>7.54</v>
      </c>
      <c r="W471" t="s">
        <v>64</v>
      </c>
      <c r="X471" t="s">
        <v>86</v>
      </c>
      <c r="Y471" t="s">
        <v>56</v>
      </c>
      <c r="Z471">
        <v>0.112</v>
      </c>
      <c r="AA471">
        <v>0.33500000000000002</v>
      </c>
      <c r="AB471">
        <v>165</v>
      </c>
      <c r="AC471">
        <v>6.8</v>
      </c>
      <c r="AE471">
        <v>-69.837100000000007</v>
      </c>
      <c r="AF471">
        <v>9.0816499999999998</v>
      </c>
      <c r="AG471" t="s">
        <v>57</v>
      </c>
      <c r="AH471" t="s">
        <v>58</v>
      </c>
      <c r="AJ471">
        <v>1.343094</v>
      </c>
      <c r="AL471">
        <v>29.896149999999999</v>
      </c>
      <c r="AN471">
        <v>1.2409520000000001</v>
      </c>
      <c r="AO471">
        <v>54.045020000000001</v>
      </c>
      <c r="AP471">
        <v>54.277760000000001</v>
      </c>
      <c r="AQ471">
        <v>0.57815870000000003</v>
      </c>
      <c r="AR471">
        <v>12.388820000000001</v>
      </c>
      <c r="AS471">
        <v>4.2828629999999999</v>
      </c>
      <c r="AT471">
        <v>3.7047530000000002</v>
      </c>
      <c r="AU471">
        <v>4.7002240000000004</v>
      </c>
      <c r="AV471">
        <v>3.7047530000000002</v>
      </c>
      <c r="AX471">
        <v>19.57</v>
      </c>
      <c r="AY471">
        <v>4.3449261553120504</v>
      </c>
      <c r="AZ471" s="1">
        <v>0.84749996662139904</v>
      </c>
      <c r="BA471" s="1">
        <v>9.3000002205371898E-2</v>
      </c>
      <c r="BB471" s="1">
        <v>0.94049996137618996</v>
      </c>
      <c r="BC471" s="1">
        <v>3.0039720000000001</v>
      </c>
      <c r="BD471" s="2">
        <v>54.277761253873003</v>
      </c>
      <c r="BE471" s="2">
        <f t="shared" si="14"/>
        <v>3.8741938735080055</v>
      </c>
      <c r="BF471" s="2">
        <f t="shared" si="15"/>
        <v>7.68634855598975</v>
      </c>
      <c r="BG471">
        <v>12</v>
      </c>
      <c r="BH471" s="3">
        <v>5</v>
      </c>
      <c r="BI471">
        <v>71.428571428571431</v>
      </c>
      <c r="BJ471" s="3">
        <v>12</v>
      </c>
      <c r="BK471">
        <v>5</v>
      </c>
      <c r="BL471">
        <v>71.428571428571431</v>
      </c>
      <c r="BM471" s="3">
        <v>1928</v>
      </c>
      <c r="BN471">
        <v>249</v>
      </c>
      <c r="BO471">
        <v>14.830256104824301</v>
      </c>
      <c r="BS471">
        <v>0.19686219999999999</v>
      </c>
      <c r="BT471">
        <v>1.3634170000000001</v>
      </c>
      <c r="BU471">
        <v>3.9244988092385702</v>
      </c>
    </row>
    <row r="472" spans="1:73" x14ac:dyDescent="0.2">
      <c r="A472">
        <v>470</v>
      </c>
      <c r="B472" t="s">
        <v>98</v>
      </c>
      <c r="C472">
        <v>2014</v>
      </c>
      <c r="D472">
        <v>18</v>
      </c>
      <c r="E472">
        <v>0</v>
      </c>
      <c r="F472" t="s">
        <v>99</v>
      </c>
      <c r="G472">
        <v>0.67342000000000002</v>
      </c>
      <c r="H472">
        <v>0</v>
      </c>
      <c r="O472">
        <v>2.3879999999999999</v>
      </c>
      <c r="P472">
        <v>5.5460000000000003</v>
      </c>
      <c r="Q472">
        <v>0</v>
      </c>
      <c r="R472">
        <v>20317</v>
      </c>
      <c r="S472">
        <v>-4.7309999999999999</v>
      </c>
      <c r="T472">
        <v>62.17</v>
      </c>
      <c r="W472" t="s">
        <v>64</v>
      </c>
      <c r="X472" t="s">
        <v>86</v>
      </c>
      <c r="Y472" t="s">
        <v>56</v>
      </c>
      <c r="Z472">
        <v>0.10199999999999999</v>
      </c>
      <c r="AA472">
        <v>0.316</v>
      </c>
      <c r="AB472">
        <v>165</v>
      </c>
      <c r="AC472">
        <v>6.8</v>
      </c>
      <c r="AE472">
        <v>-69.837100000000007</v>
      </c>
      <c r="AF472">
        <v>9.0816499999999998</v>
      </c>
      <c r="AG472" t="s">
        <v>57</v>
      </c>
      <c r="AH472" t="s">
        <v>58</v>
      </c>
      <c r="AJ472">
        <v>-3.894387</v>
      </c>
      <c r="AN472">
        <v>1.019779</v>
      </c>
      <c r="AO472">
        <v>53.725059999999999</v>
      </c>
      <c r="AP472">
        <v>48.090809999999998</v>
      </c>
      <c r="AQ472">
        <v>0.23530180000000001</v>
      </c>
      <c r="AR472">
        <v>14.603350000000001</v>
      </c>
      <c r="AS472">
        <v>5.2374809999999998</v>
      </c>
      <c r="AT472">
        <v>4.1298719999999998</v>
      </c>
      <c r="AU472">
        <v>5.7025439999999996</v>
      </c>
      <c r="AV472">
        <v>4.1298719999999998</v>
      </c>
      <c r="AX472">
        <v>21.53</v>
      </c>
      <c r="AY472">
        <v>4.5196125138955097</v>
      </c>
      <c r="AZ472" s="1">
        <v>0.84749996662139904</v>
      </c>
      <c r="BA472" s="1">
        <v>9.3000002205371898E-2</v>
      </c>
      <c r="BB472" s="1">
        <v>0.94049996137618996</v>
      </c>
      <c r="BC472" s="1">
        <v>3.0039720000000001</v>
      </c>
      <c r="BD472" s="2">
        <v>48.090813525564997</v>
      </c>
      <c r="BE472" s="2">
        <f t="shared" si="14"/>
        <v>6.1869477283080059</v>
      </c>
      <c r="BF472" s="2">
        <f t="shared" si="15"/>
        <v>11.398678916342622</v>
      </c>
      <c r="BG472">
        <v>20</v>
      </c>
      <c r="BH472" s="3">
        <v>8</v>
      </c>
      <c r="BI472">
        <v>66.666666666666671</v>
      </c>
      <c r="BJ472" s="3">
        <v>20</v>
      </c>
      <c r="BK472">
        <v>8</v>
      </c>
      <c r="BL472">
        <v>66.666666666666671</v>
      </c>
      <c r="BM472" s="3">
        <v>-3401</v>
      </c>
      <c r="BN472">
        <v>5329</v>
      </c>
      <c r="BO472">
        <v>276.40041493775931</v>
      </c>
      <c r="BS472">
        <v>2.2145329999999999</v>
      </c>
      <c r="BT472">
        <v>4.0113839999999996</v>
      </c>
      <c r="BU472">
        <v>-8.6885744781341104E-2</v>
      </c>
    </row>
    <row r="473" spans="1:73" x14ac:dyDescent="0.2">
      <c r="A473">
        <v>471</v>
      </c>
      <c r="B473" t="s">
        <v>98</v>
      </c>
      <c r="C473">
        <v>2015</v>
      </c>
      <c r="D473">
        <v>18</v>
      </c>
      <c r="E473">
        <v>0</v>
      </c>
      <c r="F473" t="s">
        <v>99</v>
      </c>
      <c r="G473">
        <v>0.66879</v>
      </c>
      <c r="H473">
        <v>0</v>
      </c>
      <c r="O473">
        <v>2.2989999999999999</v>
      </c>
      <c r="P473">
        <v>6.3739999999999997</v>
      </c>
      <c r="Q473">
        <v>1</v>
      </c>
      <c r="R473">
        <v>18802</v>
      </c>
      <c r="T473">
        <v>121.74</v>
      </c>
      <c r="W473" t="s">
        <v>64</v>
      </c>
      <c r="X473" t="s">
        <v>86</v>
      </c>
      <c r="Y473" t="s">
        <v>56</v>
      </c>
      <c r="Z473">
        <v>0.114</v>
      </c>
      <c r="AA473">
        <v>0.308</v>
      </c>
      <c r="AB473">
        <v>167</v>
      </c>
      <c r="AC473">
        <v>6.8</v>
      </c>
      <c r="AE473">
        <v>-69.837100000000007</v>
      </c>
      <c r="AF473">
        <v>9.0816499999999998</v>
      </c>
      <c r="AG473" t="s">
        <v>57</v>
      </c>
      <c r="AH473" t="s">
        <v>58</v>
      </c>
      <c r="AO473">
        <v>53.245629999999998</v>
      </c>
      <c r="AT473">
        <v>4.8018879999999999</v>
      </c>
      <c r="AU473">
        <v>5.2854010000000002</v>
      </c>
      <c r="AV473">
        <v>4.8018879999999999</v>
      </c>
      <c r="AX473">
        <v>59.57</v>
      </c>
      <c r="AY473">
        <v>4.4489439415594703</v>
      </c>
      <c r="AZ473" s="1">
        <v>0.51250004768371604</v>
      </c>
      <c r="BA473" s="1">
        <v>7.3499999940395397E-2</v>
      </c>
      <c r="BB473" s="1">
        <v>0.58600002527236905</v>
      </c>
      <c r="BC473" s="1">
        <v>3.0039720000000001</v>
      </c>
      <c r="BD473" s="2">
        <v>99.738988924401994</v>
      </c>
      <c r="BE473" s="2">
        <f t="shared" si="14"/>
        <v>51.648175398836997</v>
      </c>
      <c r="BF473" s="2">
        <f t="shared" si="15"/>
        <v>107.39717549461065</v>
      </c>
      <c r="BG473">
        <v>40</v>
      </c>
      <c r="BH473" s="3">
        <v>20</v>
      </c>
      <c r="BI473">
        <v>100</v>
      </c>
      <c r="BJ473" s="3">
        <v>39</v>
      </c>
      <c r="BK473">
        <v>19</v>
      </c>
      <c r="BL473">
        <v>95</v>
      </c>
      <c r="BM473" s="3">
        <v>370</v>
      </c>
      <c r="BN473">
        <v>3771</v>
      </c>
      <c r="BO473">
        <v>-110.87915319023817</v>
      </c>
      <c r="BT473">
        <v>4.6453889999999998</v>
      </c>
      <c r="BU473">
        <v>-4.7322747565315701</v>
      </c>
    </row>
    <row r="474" spans="1:73" x14ac:dyDescent="0.2">
      <c r="A474">
        <v>472</v>
      </c>
      <c r="B474" t="s">
        <v>98</v>
      </c>
      <c r="C474">
        <v>2016</v>
      </c>
      <c r="D474">
        <v>18</v>
      </c>
      <c r="E474">
        <v>1</v>
      </c>
      <c r="F474" t="s">
        <v>99</v>
      </c>
      <c r="G474">
        <v>0.66415000000000002</v>
      </c>
      <c r="H474">
        <v>0</v>
      </c>
      <c r="I474">
        <v>3.5720000000000001</v>
      </c>
      <c r="J474">
        <v>2.496</v>
      </c>
      <c r="K474">
        <v>4.2</v>
      </c>
      <c r="L474">
        <v>3.5110000000000001</v>
      </c>
      <c r="M474">
        <v>1.798</v>
      </c>
      <c r="N474">
        <v>1.3740000000000001</v>
      </c>
      <c r="O474">
        <v>2.2989999999999999</v>
      </c>
      <c r="P474">
        <v>6.2080000000000002</v>
      </c>
      <c r="Q474">
        <v>0</v>
      </c>
      <c r="R474">
        <v>15219</v>
      </c>
      <c r="T474">
        <v>254.95</v>
      </c>
      <c r="U474">
        <v>5.32</v>
      </c>
      <c r="W474" t="s">
        <v>64</v>
      </c>
      <c r="X474" t="s">
        <v>86</v>
      </c>
      <c r="Y474" t="s">
        <v>56</v>
      </c>
      <c r="Z474">
        <v>0.127</v>
      </c>
      <c r="AA474">
        <v>0.29399999999999998</v>
      </c>
      <c r="AB474">
        <v>167</v>
      </c>
      <c r="AE474">
        <v>-69.837100000000007</v>
      </c>
      <c r="AF474">
        <v>9.0816499999999998</v>
      </c>
      <c r="AG474" t="s">
        <v>57</v>
      </c>
      <c r="AH474" t="s">
        <v>58</v>
      </c>
      <c r="AO474">
        <v>53.51737</v>
      </c>
      <c r="AT474">
        <v>5.5410680000000001</v>
      </c>
      <c r="AU474">
        <v>5.2854010000000002</v>
      </c>
      <c r="AV474">
        <v>5.5410680000000001</v>
      </c>
      <c r="AX474">
        <v>133.21</v>
      </c>
      <c r="AY474">
        <v>4.4489439415594703</v>
      </c>
      <c r="AZ474" s="1">
        <v>0.51250004768371604</v>
      </c>
      <c r="BA474" s="1">
        <v>7.3499999940395397E-2</v>
      </c>
      <c r="BB474" s="1">
        <v>0.58600002527236905</v>
      </c>
      <c r="BC474" s="1">
        <v>5.5744553000000003</v>
      </c>
      <c r="BD474" s="2">
        <v>59.408063933393002</v>
      </c>
      <c r="BE474" s="2">
        <f t="shared" si="14"/>
        <v>40.330924991008992</v>
      </c>
      <c r="BF474" s="2">
        <f t="shared" si="15"/>
        <v>40.436468652773449</v>
      </c>
      <c r="BG474">
        <v>104</v>
      </c>
      <c r="BH474" s="3">
        <v>64</v>
      </c>
      <c r="BI474">
        <v>160</v>
      </c>
      <c r="BJ474" s="3">
        <v>103</v>
      </c>
      <c r="BK474">
        <v>64</v>
      </c>
      <c r="BL474">
        <v>164.10256410256412</v>
      </c>
      <c r="BM474" s="3">
        <v>27</v>
      </c>
      <c r="BN474">
        <v>343</v>
      </c>
      <c r="BO474">
        <v>92.702702702702709</v>
      </c>
    </row>
    <row r="475" spans="1:73" x14ac:dyDescent="0.2">
      <c r="A475">
        <v>473</v>
      </c>
      <c r="B475" t="s">
        <v>98</v>
      </c>
      <c r="C475">
        <v>2017</v>
      </c>
      <c r="D475">
        <v>18</v>
      </c>
      <c r="E475">
        <v>0</v>
      </c>
      <c r="F475" t="s">
        <v>99</v>
      </c>
      <c r="G475">
        <v>0.65952</v>
      </c>
      <c r="H475">
        <v>0</v>
      </c>
      <c r="I475">
        <v>3.5720000000000001</v>
      </c>
      <c r="J475">
        <v>2.496</v>
      </c>
      <c r="K475">
        <v>4.2</v>
      </c>
      <c r="L475">
        <v>3.5110000000000001</v>
      </c>
      <c r="M475">
        <v>1.798</v>
      </c>
      <c r="N475">
        <v>1.3740000000000001</v>
      </c>
      <c r="O475">
        <v>2.6709999999999998</v>
      </c>
      <c r="P475">
        <v>6.4740000000000002</v>
      </c>
      <c r="Q475">
        <v>0</v>
      </c>
      <c r="R475">
        <v>12879.1</v>
      </c>
      <c r="U475">
        <v>5.05</v>
      </c>
      <c r="W475" t="s">
        <v>64</v>
      </c>
      <c r="X475" t="s">
        <v>86</v>
      </c>
      <c r="Y475" t="s">
        <v>56</v>
      </c>
      <c r="Z475">
        <v>0.1</v>
      </c>
      <c r="AA475">
        <v>0.245</v>
      </c>
      <c r="AB475">
        <v>167</v>
      </c>
      <c r="AE475">
        <v>-69.837100000000007</v>
      </c>
      <c r="AF475">
        <v>9.0816499999999998</v>
      </c>
      <c r="AG475" t="s">
        <v>57</v>
      </c>
      <c r="AH475" t="s">
        <v>58</v>
      </c>
      <c r="AO475">
        <v>53.643590000000003</v>
      </c>
      <c r="AU475">
        <v>7.1342410000000003</v>
      </c>
      <c r="AY475">
        <v>4.7443226933460396</v>
      </c>
      <c r="AZ475" s="1">
        <v>0.51250004768371604</v>
      </c>
      <c r="BA475" s="1">
        <v>7.3499999940395397E-2</v>
      </c>
      <c r="BB475" s="1">
        <v>0.58600002527236905</v>
      </c>
      <c r="BC475" s="1" t="s">
        <v>101</v>
      </c>
      <c r="BD475" s="2">
        <v>67.150306914088006</v>
      </c>
      <c r="BE475" s="2">
        <f t="shared" si="14"/>
        <v>7.7422429806950035</v>
      </c>
      <c r="BF475" s="2">
        <f t="shared" si="15"/>
        <v>13.032309871897919</v>
      </c>
      <c r="BG475">
        <v>1270</v>
      </c>
      <c r="BH475" s="3">
        <v>1166</v>
      </c>
      <c r="BI475">
        <v>1121.1538461538462</v>
      </c>
      <c r="BJ475" s="3">
        <v>1264</v>
      </c>
      <c r="BK475">
        <v>1161</v>
      </c>
      <c r="BL475">
        <v>1127.1844660194174</v>
      </c>
      <c r="BM475" s="3">
        <v>-2302</v>
      </c>
      <c r="BN475">
        <v>2329</v>
      </c>
      <c r="BO475">
        <v>8625.9259259259252</v>
      </c>
    </row>
    <row r="476" spans="1:73" x14ac:dyDescent="0.2">
      <c r="A476">
        <v>474</v>
      </c>
      <c r="B476" t="s">
        <v>98</v>
      </c>
      <c r="C476">
        <v>2018</v>
      </c>
      <c r="D476">
        <v>18</v>
      </c>
      <c r="E476">
        <v>0</v>
      </c>
      <c r="F476" t="s">
        <v>99</v>
      </c>
      <c r="G476">
        <v>0.65488999999999997</v>
      </c>
      <c r="H476">
        <v>0</v>
      </c>
      <c r="I476">
        <v>3.5720000000000001</v>
      </c>
      <c r="J476">
        <v>2.496</v>
      </c>
      <c r="K476">
        <v>4.2</v>
      </c>
      <c r="L476">
        <v>3.5110000000000001</v>
      </c>
      <c r="M476">
        <v>1.798</v>
      </c>
      <c r="N476">
        <v>1.3740000000000001</v>
      </c>
      <c r="O476">
        <v>2.6709999999999998</v>
      </c>
      <c r="P476">
        <v>5.38</v>
      </c>
      <c r="Q476">
        <v>0</v>
      </c>
      <c r="R476">
        <v>10710</v>
      </c>
      <c r="W476" t="s">
        <v>64</v>
      </c>
      <c r="X476" t="s">
        <v>86</v>
      </c>
      <c r="Y476" t="s">
        <v>56</v>
      </c>
      <c r="Z476">
        <v>7.9000000000000001E-2</v>
      </c>
      <c r="AA476">
        <v>0.215</v>
      </c>
      <c r="AB476">
        <v>167</v>
      </c>
      <c r="AE476">
        <v>-69.837100000000007</v>
      </c>
      <c r="AF476">
        <v>9.0816499999999998</v>
      </c>
      <c r="AG476" t="s">
        <v>57</v>
      </c>
      <c r="AH476" t="s">
        <v>58</v>
      </c>
      <c r="AO476">
        <v>53.689239999999998</v>
      </c>
      <c r="AU476">
        <v>7.1342410000000003</v>
      </c>
      <c r="AY476">
        <v>4.7443226933460396</v>
      </c>
      <c r="AZ476" s="1">
        <v>0.51250004768371604</v>
      </c>
      <c r="BA476" s="1">
        <v>7.3499999940395397E-2</v>
      </c>
      <c r="BB476" s="1">
        <v>0.58600002527236905</v>
      </c>
      <c r="BC476" s="1" t="s">
        <v>101</v>
      </c>
      <c r="BD476" s="2">
        <v>67.150306914089001</v>
      </c>
      <c r="BE476" s="2">
        <f t="shared" si="14"/>
        <v>9.9475983006414026E-13</v>
      </c>
      <c r="BF476" s="2">
        <f t="shared" si="15"/>
        <v>1.4813928271941249E-12</v>
      </c>
      <c r="BG476">
        <v>804951</v>
      </c>
      <c r="BH476" s="3">
        <v>803681</v>
      </c>
      <c r="BI476">
        <v>63281.968503937009</v>
      </c>
      <c r="BJ476" s="3">
        <v>802206</v>
      </c>
      <c r="BK476">
        <v>800942</v>
      </c>
      <c r="BL476">
        <v>63365.664556962023</v>
      </c>
      <c r="BM476" s="3">
        <v>225</v>
      </c>
      <c r="BN476">
        <v>2527</v>
      </c>
      <c r="BO476">
        <v>-109.77410947002606</v>
      </c>
    </row>
    <row r="477" spans="1:73" x14ac:dyDescent="0.2">
      <c r="A477">
        <v>475</v>
      </c>
      <c r="B477" t="s">
        <v>98</v>
      </c>
      <c r="C477">
        <v>2019</v>
      </c>
      <c r="D477">
        <v>18</v>
      </c>
      <c r="E477">
        <v>0</v>
      </c>
      <c r="F477" t="s">
        <v>99</v>
      </c>
      <c r="G477">
        <v>0.65025999999999995</v>
      </c>
      <c r="H477">
        <v>0</v>
      </c>
      <c r="I477">
        <v>3.5720000000000001</v>
      </c>
      <c r="J477">
        <v>2.496</v>
      </c>
      <c r="K477">
        <v>4.2</v>
      </c>
      <c r="L477">
        <v>3.5110000000000001</v>
      </c>
      <c r="M477">
        <v>1.798</v>
      </c>
      <c r="N477">
        <v>1.3740000000000001</v>
      </c>
      <c r="O477">
        <v>2.2210000000000001</v>
      </c>
      <c r="P477">
        <v>5.38</v>
      </c>
      <c r="Q477">
        <v>0</v>
      </c>
      <c r="W477" t="s">
        <v>64</v>
      </c>
      <c r="X477" t="s">
        <v>86</v>
      </c>
      <c r="Y477" t="s">
        <v>56</v>
      </c>
      <c r="Z477">
        <v>7.2999999999999995E-2</v>
      </c>
      <c r="AA477">
        <v>0.20899999999999999</v>
      </c>
      <c r="AB477">
        <v>167</v>
      </c>
      <c r="AE477">
        <v>-69.837100000000007</v>
      </c>
      <c r="AF477">
        <v>9.0816499999999998</v>
      </c>
      <c r="AG477" t="s">
        <v>57</v>
      </c>
      <c r="AH477" t="s">
        <v>58</v>
      </c>
      <c r="AO477">
        <v>53.882179999999998</v>
      </c>
      <c r="AU477">
        <v>4.9328409999999998</v>
      </c>
      <c r="AY477">
        <v>4.3870096871526103</v>
      </c>
      <c r="AZ477" s="1">
        <v>0.51250004768371604</v>
      </c>
      <c r="BA477" s="1">
        <v>7.3499999940395397E-2</v>
      </c>
      <c r="BB477" s="1">
        <v>0.58600002527236905</v>
      </c>
      <c r="BC477" s="1" t="s">
        <v>101</v>
      </c>
      <c r="BD477" s="2"/>
      <c r="BE477" s="2">
        <f t="shared" si="14"/>
        <v>67.150306914089001</v>
      </c>
      <c r="BF477" s="2">
        <f t="shared" si="15"/>
        <v>100</v>
      </c>
      <c r="BG477">
        <v>40614469</v>
      </c>
      <c r="BH477" s="3">
        <v>39809518</v>
      </c>
      <c r="BI477">
        <v>4945.5827746036712</v>
      </c>
      <c r="BJ477" s="3">
        <v>40522951</v>
      </c>
      <c r="BK477">
        <v>39720745</v>
      </c>
      <c r="BL477">
        <v>4951.4395304946611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4F6A-6254-0A49-8EDF-F5364B0E4047}">
  <dimension ref="A2:C11"/>
  <sheetViews>
    <sheetView workbookViewId="0">
      <selection activeCell="B12" sqref="B12"/>
    </sheetView>
  </sheetViews>
  <sheetFormatPr baseColWidth="10" defaultRowHeight="15" x14ac:dyDescent="0.2"/>
  <cols>
    <col min="1" max="1" width="19.5" customWidth="1"/>
    <col min="2" max="2" width="68.6640625" customWidth="1"/>
    <col min="3" max="3" width="44.33203125" customWidth="1"/>
  </cols>
  <sheetData>
    <row r="2" spans="1:3" x14ac:dyDescent="0.2">
      <c r="A2" s="1" t="s">
        <v>105</v>
      </c>
      <c r="B2" t="s">
        <v>106</v>
      </c>
      <c r="C2" t="s">
        <v>107</v>
      </c>
    </row>
    <row r="3" spans="1:3" x14ac:dyDescent="0.2">
      <c r="A3" s="1" t="s">
        <v>115</v>
      </c>
      <c r="B3" t="s">
        <v>124</v>
      </c>
    </row>
    <row r="4" spans="1:3" x14ac:dyDescent="0.2">
      <c r="A4" s="1" t="s">
        <v>116</v>
      </c>
      <c r="B4" t="s">
        <v>125</v>
      </c>
    </row>
    <row r="5" spans="1:3" x14ac:dyDescent="0.2">
      <c r="A5" t="s">
        <v>108</v>
      </c>
      <c r="B5" t="s">
        <v>109</v>
      </c>
      <c r="C5" t="s">
        <v>107</v>
      </c>
    </row>
    <row r="6" spans="1:3" x14ac:dyDescent="0.2">
      <c r="A6" t="s">
        <v>113</v>
      </c>
      <c r="B6" t="s">
        <v>110</v>
      </c>
    </row>
    <row r="7" spans="1:3" x14ac:dyDescent="0.2">
      <c r="A7" t="s">
        <v>111</v>
      </c>
      <c r="B7" t="s">
        <v>112</v>
      </c>
    </row>
    <row r="8" spans="1:3" x14ac:dyDescent="0.2">
      <c r="A8" t="s">
        <v>117</v>
      </c>
      <c r="B8" t="s">
        <v>123</v>
      </c>
    </row>
    <row r="9" spans="1:3" x14ac:dyDescent="0.2">
      <c r="A9" t="s">
        <v>118</v>
      </c>
      <c r="B9" t="s">
        <v>122</v>
      </c>
    </row>
    <row r="10" spans="1:3" x14ac:dyDescent="0.2">
      <c r="A10" t="s">
        <v>121</v>
      </c>
      <c r="B10" t="s">
        <v>112</v>
      </c>
    </row>
    <row r="11" spans="1:3" x14ac:dyDescent="0.2">
      <c r="A11" t="s">
        <v>126</v>
      </c>
      <c r="B1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cp:lastModifiedBy>Federico Acosta y Lara</cp:lastModifiedBy>
  <dcterms:created xsi:type="dcterms:W3CDTF">2022-08-02T16:13:00Z</dcterms:created>
  <dcterms:modified xsi:type="dcterms:W3CDTF">2022-08-03T14:20:34Z</dcterms:modified>
</cp:coreProperties>
</file>